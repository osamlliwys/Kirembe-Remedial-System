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45" windowHeight="5835" tabRatio="600" firstSheet="0" activeTab="3" autoFilterDateGrouping="1"/>
  </bookViews>
  <sheets>
    <sheet name="GRADE 10 2026" sheetId="1" state="visible" r:id="rId1"/>
    <sheet name="FORM 2 2025" sheetId="2" state="visible" r:id="rId2"/>
    <sheet name="FORM 3 2025" sheetId="3" state="visible" r:id="rId3"/>
    <sheet name="FORM 3 2026" sheetId="4" state="visible" r:id="rId4"/>
    <sheet name="FORM 4 2026" sheetId="5" state="visible" r:id="rId5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haroni"/>
      <charset val="177"/>
      <b val="1"/>
      <color theme="1"/>
      <sz val="14"/>
    </font>
    <font>
      <name val="Baskerville Old Face"/>
      <family val="1"/>
      <b val="1"/>
      <color theme="1"/>
      <sz val="11"/>
    </font>
    <font>
      <name val="Calibri"/>
      <family val="2"/>
      <color theme="1"/>
      <sz val="10"/>
      <scheme val="minor"/>
    </font>
    <font>
      <name val="Times New Roman"/>
      <family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Times New Roman"/>
      <family val="1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color rgb="FFFF0000"/>
      <sz val="9"/>
      <scheme val="minor"/>
    </font>
    <font>
      <name val="Times New Roman"/>
      <family val="1"/>
      <b val="1"/>
      <color theme="1"/>
      <sz val="9"/>
    </font>
    <font>
      <name val="Calibri"/>
      <family val="2"/>
      <b val="1"/>
      <color rgb="FFFF0000"/>
      <sz val="10"/>
      <scheme val="minor"/>
    </font>
    <font>
      <name val="Calibri"/>
      <family val="2"/>
      <color rgb="FFFF0000"/>
      <sz val="11"/>
      <scheme val="minor"/>
    </font>
    <font>
      <name val="Baskerville Old Face"/>
      <family val="1"/>
      <b val="1"/>
      <color theme="1"/>
      <sz val="10"/>
    </font>
    <font>
      <name val="Times New Roman"/>
      <family val="1"/>
      <sz val="9"/>
    </font>
    <font>
      <name val="Times New Roman"/>
      <family val="1"/>
      <color rgb="FFFF0000"/>
      <sz val="9"/>
    </font>
    <font>
      <name val="Calibri"/>
      <family val="2"/>
      <sz val="9"/>
      <scheme val="minor"/>
    </font>
    <font>
      <name val="Calibri"/>
      <family val="2"/>
      <color rgb="FFFF0000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Times New Roman"/>
      <family val="1"/>
      <b val="1"/>
      <color theme="1"/>
      <sz val="10"/>
    </font>
  </fonts>
  <fills count="1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9" fillId="0" borderId="0"/>
    <xf numFmtId="9" fontId="19" fillId="0" borderId="0"/>
  </cellStyleXfs>
  <cellXfs count="111">
    <xf numFmtId="0" fontId="0" fillId="0" borderId="0" pivotButton="0" quotePrefix="0" xfId="0"/>
    <xf numFmtId="43" fontId="6" fillId="0" borderId="1" pivotButton="0" quotePrefix="0" xfId="0"/>
    <xf numFmtId="43" fontId="4" fillId="0" borderId="2" pivotButton="0" quotePrefix="0" xfId="0"/>
    <xf numFmtId="41" fontId="4" fillId="5" borderId="2" pivotButton="0" quotePrefix="0" xfId="0"/>
    <xf numFmtId="41" fontId="4" fillId="6" borderId="2" pivotButton="0" quotePrefix="0" xfId="0"/>
    <xf numFmtId="49" fontId="6" fillId="7" borderId="1" pivotButton="0" quotePrefix="0" xfId="0"/>
    <xf numFmtId="0" fontId="6" fillId="7" borderId="1" pivotButton="0" quotePrefix="0" xfId="0"/>
    <xf numFmtId="4" fontId="6" fillId="7" borderId="3" applyAlignment="1" pivotButton="0" quotePrefix="0" xfId="0">
      <alignment horizontal="right"/>
    </xf>
    <xf numFmtId="41" fontId="6" fillId="7" borderId="3" pivotButton="0" quotePrefix="0" xfId="0"/>
    <xf numFmtId="43" fontId="6" fillId="7" borderId="3" pivotButton="0" quotePrefix="0" xfId="0"/>
    <xf numFmtId="43" fontId="6" fillId="9" borderId="1" pivotButton="0" quotePrefix="0" xfId="0"/>
    <xf numFmtId="43" fontId="6" fillId="8" borderId="1" pivotButton="0" quotePrefix="0" xfId="0"/>
    <xf numFmtId="49" fontId="1" fillId="4" borderId="0" pivotButton="0" quotePrefix="0" xfId="0"/>
    <xf numFmtId="0" fontId="1" fillId="4" borderId="0" pivotButton="0" quotePrefix="0" xfId="0"/>
    <xf numFmtId="0" fontId="1" fillId="0" borderId="0" pivotButton="0" quotePrefix="0" xfId="0"/>
    <xf numFmtId="49" fontId="7" fillId="0" borderId="1" pivotButton="0" quotePrefix="0" xfId="0"/>
    <xf numFmtId="43" fontId="7" fillId="0" borderId="1" pivotButton="0" quotePrefix="0" xfId="0"/>
    <xf numFmtId="41" fontId="7" fillId="6" borderId="1" pivotButton="0" quotePrefix="0" xfId="0"/>
    <xf numFmtId="43" fontId="7" fillId="0" borderId="1" applyAlignment="1" pivotButton="0" quotePrefix="0" xfId="0">
      <alignment horizontal="center"/>
    </xf>
    <xf numFmtId="43" fontId="7" fillId="0" borderId="2" pivotButton="0" quotePrefix="0" xfId="0"/>
    <xf numFmtId="41" fontId="7" fillId="6" borderId="2" pivotButton="0" quotePrefix="0" xfId="0"/>
    <xf numFmtId="49" fontId="9" fillId="7" borderId="1" pivotButton="0" quotePrefix="0" xfId="0"/>
    <xf numFmtId="0" fontId="9" fillId="7" borderId="1" pivotButton="0" quotePrefix="0" xfId="0"/>
    <xf numFmtId="0" fontId="8" fillId="0" borderId="8" pivotButton="0" quotePrefix="0" xfId="0"/>
    <xf numFmtId="0" fontId="11" fillId="11" borderId="1" pivotButton="0" quotePrefix="0" xfId="0"/>
    <xf numFmtId="43" fontId="7" fillId="11" borderId="1" pivotButton="0" quotePrefix="0" xfId="0"/>
    <xf numFmtId="41" fontId="9" fillId="11" borderId="1" pivotButton="0" quotePrefix="0" xfId="0"/>
    <xf numFmtId="41" fontId="7" fillId="11" borderId="1" pivotButton="0" quotePrefix="0" xfId="0"/>
    <xf numFmtId="43" fontId="9" fillId="11" borderId="1" pivotButton="0" quotePrefix="0" xfId="0"/>
    <xf numFmtId="43" fontId="6" fillId="10" borderId="1" pivotButton="0" quotePrefix="0" xfId="0"/>
    <xf numFmtId="4" fontId="6" fillId="7" borderId="0" applyAlignment="1" pivotButton="0" quotePrefix="0" xfId="0">
      <alignment horizontal="right"/>
    </xf>
    <xf numFmtId="41" fontId="6" fillId="7" borderId="0" pivotButton="0" quotePrefix="0" xfId="0"/>
    <xf numFmtId="43" fontId="6" fillId="7" borderId="0" pivotButton="0" quotePrefix="0" xfId="0"/>
    <xf numFmtId="49" fontId="9" fillId="7" borderId="0" pivotButton="0" quotePrefix="0" xfId="0"/>
    <xf numFmtId="0" fontId="9" fillId="7" borderId="0" pivotButton="0" quotePrefix="0" xfId="0"/>
    <xf numFmtId="43" fontId="12" fillId="0" borderId="1" pivotButton="0" quotePrefix="0" xfId="0"/>
    <xf numFmtId="49" fontId="0" fillId="0" borderId="0" pivotButton="0" quotePrefix="0" xfId="0"/>
    <xf numFmtId="41" fontId="10" fillId="6" borderId="1" pivotButton="0" quotePrefix="0" xfId="0"/>
    <xf numFmtId="0" fontId="8" fillId="8" borderId="1" pivotButton="0" quotePrefix="0" xfId="0"/>
    <xf numFmtId="43" fontId="7" fillId="8" borderId="1" pivotButton="0" quotePrefix="0" xfId="0"/>
    <xf numFmtId="43" fontId="7" fillId="8" borderId="1" applyAlignment="1" pivotButton="0" quotePrefix="0" xfId="0">
      <alignment horizontal="center"/>
    </xf>
    <xf numFmtId="41" fontId="7" fillId="13" borderId="1" pivotButton="0" quotePrefix="0" xfId="0"/>
    <xf numFmtId="41" fontId="7" fillId="12" borderId="1" pivotButton="0" quotePrefix="0" xfId="0"/>
    <xf numFmtId="43" fontId="6" fillId="14" borderId="1" pivotButton="0" quotePrefix="0" xfId="0"/>
    <xf numFmtId="0" fontId="5" fillId="8" borderId="1" pivotButton="0" quotePrefix="0" xfId="0"/>
    <xf numFmtId="0" fontId="15" fillId="0" borderId="1" pivotButton="0" quotePrefix="0" xfId="0"/>
    <xf numFmtId="49" fontId="9" fillId="8" borderId="0" pivotButton="0" quotePrefix="0" xfId="0"/>
    <xf numFmtId="0" fontId="9" fillId="8" borderId="0" pivotButton="0" quotePrefix="0" xfId="0"/>
    <xf numFmtId="4" fontId="6" fillId="8" borderId="0" applyAlignment="1" pivotButton="0" quotePrefix="0" xfId="0">
      <alignment horizontal="right"/>
    </xf>
    <xf numFmtId="41" fontId="6" fillId="8" borderId="0" pivotButton="0" quotePrefix="0" xfId="0"/>
    <xf numFmtId="43" fontId="6" fillId="8" borderId="0" pivotButton="0" quotePrefix="0" xfId="0"/>
    <xf numFmtId="41" fontId="17" fillId="12" borderId="1" pivotButton="0" quotePrefix="0" xfId="0"/>
    <xf numFmtId="41" fontId="17" fillId="13" borderId="1" pivotButton="0" quotePrefix="0" xfId="0"/>
    <xf numFmtId="41" fontId="10" fillId="12" borderId="1" pivotButton="0" quotePrefix="0" xfId="0"/>
    <xf numFmtId="0" fontId="16" fillId="0" borderId="1" pivotButton="0" quotePrefix="0" xfId="0"/>
    <xf numFmtId="43" fontId="10" fillId="0" borderId="1" pivotButton="0" quotePrefix="0" xfId="0"/>
    <xf numFmtId="9" fontId="5" fillId="8" borderId="1" pivotButton="0" quotePrefix="0" xfId="1"/>
    <xf numFmtId="41" fontId="17" fillId="6" borderId="1" pivotButton="0" quotePrefix="0" xfId="0"/>
    <xf numFmtId="41" fontId="18" fillId="6" borderId="2" pivotButton="0" quotePrefix="0" xfId="0"/>
    <xf numFmtId="0" fontId="13" fillId="0" borderId="0" pivotButton="0" quotePrefix="0" xfId="0"/>
    <xf numFmtId="49" fontId="17" fillId="0" borderId="1" pivotButton="0" quotePrefix="0" xfId="0"/>
    <xf numFmtId="43" fontId="17" fillId="0" borderId="1" pivotButton="0" quotePrefix="0" xfId="0"/>
    <xf numFmtId="43" fontId="21" fillId="0" borderId="1" pivotButton="0" quotePrefix="0" xfId="0"/>
    <xf numFmtId="41" fontId="10" fillId="6" borderId="2" pivotButton="0" quotePrefix="0" xfId="0"/>
    <xf numFmtId="41" fontId="7" fillId="12" borderId="1" applyAlignment="1" pivotButton="0" quotePrefix="0" xfId="0">
      <alignment horizontal="center"/>
    </xf>
    <xf numFmtId="41" fontId="7" fillId="13" borderId="1" pivotButton="0" quotePrefix="1" xfId="0"/>
    <xf numFmtId="41" fontId="4" fillId="5" borderId="9" applyAlignment="1" pivotButton="0" quotePrefix="0" xfId="0">
      <alignment horizontal="center"/>
    </xf>
    <xf numFmtId="41" fontId="4" fillId="5" borderId="10" applyAlignment="1" pivotButton="0" quotePrefix="0" xfId="0">
      <alignment horizontal="center"/>
    </xf>
    <xf numFmtId="43" fontId="6" fillId="0" borderId="2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2" fillId="8" borderId="1" pivotButton="0" quotePrefix="0" xfId="0"/>
    <xf numFmtId="49" fontId="6" fillId="7" borderId="3" pivotButton="0" quotePrefix="0" xfId="0"/>
    <xf numFmtId="43" fontId="0" fillId="0" borderId="0" pivotButton="0" quotePrefix="0" xfId="0"/>
    <xf numFmtId="0" fontId="8" fillId="0" borderId="0" pivotButton="0" quotePrefix="0" xfId="0"/>
    <xf numFmtId="41" fontId="0" fillId="0" borderId="0" pivotButton="0" quotePrefix="0" xfId="0"/>
    <xf numFmtId="0" fontId="15" fillId="0" borderId="0" pivotButton="0" quotePrefix="0" xfId="0"/>
    <xf numFmtId="3" fontId="0" fillId="0" borderId="0" pivotButton="0" quotePrefix="0" xfId="0"/>
    <xf numFmtId="43" fontId="7" fillId="0" borderId="0" pivotButton="0" quotePrefix="0" xfId="0"/>
    <xf numFmtId="41" fontId="1" fillId="4" borderId="0" pivotButton="0" quotePrefix="0" xfId="0"/>
    <xf numFmtId="41" fontId="4" fillId="5" borderId="5" applyAlignment="1" pivotButton="0" quotePrefix="0" xfId="0">
      <alignment horizontal="center"/>
    </xf>
    <xf numFmtId="41" fontId="4" fillId="5" borderId="7" applyAlignment="1" pivotButton="0" quotePrefix="0" xfId="0">
      <alignment horizontal="center"/>
    </xf>
    <xf numFmtId="41" fontId="4" fillId="5" borderId="5" applyAlignment="1" pivotButton="0" quotePrefix="0" xfId="0">
      <alignment horizontal="left"/>
    </xf>
    <xf numFmtId="41" fontId="4" fillId="5" borderId="6" applyAlignment="1" pivotButton="0" quotePrefix="0" xfId="0">
      <alignment horizontal="left"/>
    </xf>
    <xf numFmtId="41" fontId="4" fillId="5" borderId="7" applyAlignment="1" pivotButton="0" quotePrefix="0" xfId="0">
      <alignment horizontal="left"/>
    </xf>
    <xf numFmtId="49" fontId="7" fillId="0" borderId="0" pivotButton="0" quotePrefix="0" xfId="0"/>
    <xf numFmtId="49" fontId="6" fillId="7" borderId="0" pivotButton="0" quotePrefix="0" xfId="0"/>
    <xf numFmtId="0" fontId="6" fillId="7" borderId="0" pivotButton="0" quotePrefix="0" xfId="0"/>
    <xf numFmtId="0" fontId="11" fillId="0" borderId="0" pivotButton="0" quotePrefix="0" xfId="0"/>
    <xf numFmtId="164" fontId="7" fillId="13" borderId="1" pivotButton="0" quotePrefix="0" xfId="0"/>
    <xf numFmtId="164" fontId="4" fillId="5" borderId="1" pivotButton="0" quotePrefix="0" xfId="0"/>
    <xf numFmtId="164" fontId="7" fillId="6" borderId="1" pivotButton="0" quotePrefix="0" xfId="0"/>
    <xf numFmtId="0" fontId="8" fillId="0" borderId="1" pivotButton="0" quotePrefix="0" xfId="0"/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41" fontId="4" fillId="5" borderId="1" pivotButton="0" quotePrefix="0" xfId="0"/>
    <xf numFmtId="41" fontId="4" fillId="5" borderId="1" applyAlignment="1" pivotButton="0" quotePrefix="0" xfId="0">
      <alignment horizontal="center"/>
    </xf>
    <xf numFmtId="0" fontId="0" fillId="0" borderId="7" pivotButton="0" quotePrefix="0" xfId="0"/>
    <xf numFmtId="41" fontId="4" fillId="5" borderId="1" applyAlignment="1" pivotButton="0" quotePrefix="0" xfId="0">
      <alignment horizontal="left"/>
    </xf>
    <xf numFmtId="0" fontId="0" fillId="0" borderId="6" pivotButton="0" quotePrefix="0" xfId="0"/>
    <xf numFmtId="49" fontId="2" fillId="0" borderId="0" applyAlignment="1" pivotButton="0" quotePrefix="0" xfId="0">
      <alignment horizontal="center"/>
    </xf>
    <xf numFmtId="0" fontId="0" fillId="0" borderId="0" pivotButton="0" quotePrefix="0" xfId="0"/>
    <xf numFmtId="41" fontId="4" fillId="10" borderId="1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0" fillId="0" borderId="4" pivotButton="0" quotePrefix="0" xfId="0"/>
    <xf numFmtId="41" fontId="20" fillId="5" borderId="1" applyAlignment="1" pivotButton="0" quotePrefix="0" xfId="0">
      <alignment horizontal="left"/>
    </xf>
    <xf numFmtId="49" fontId="14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41" fontId="4" fillId="5" borderId="1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142"/>
  <sheetViews>
    <sheetView topLeftCell="A26" workbookViewId="0">
      <selection activeCell="T42" sqref="T42"/>
    </sheetView>
  </sheetViews>
  <sheetFormatPr baseColWidth="8" defaultRowHeight="15"/>
  <cols>
    <col width="3.42578125" customWidth="1" style="101" min="1" max="1"/>
    <col width="6.140625" customWidth="1" style="101" min="2" max="2"/>
    <col width="24.5703125" customWidth="1" style="101" min="3" max="3"/>
    <col width="9.140625" customWidth="1" style="101" min="5" max="5"/>
    <col width="0.140625" customWidth="1" style="101" min="6" max="6"/>
    <col hidden="1" width="9.140625" customWidth="1" style="101" min="7" max="7"/>
    <col width="11.7109375" customWidth="1" style="101" min="20" max="20"/>
  </cols>
  <sheetData>
    <row r="2" ht="18" customHeight="1" s="101">
      <c r="A2" s="100" t="inlineStr">
        <is>
          <t>KIREMBE SECONDARY SCHOOL.</t>
        </is>
      </c>
    </row>
    <row r="3">
      <c r="A3" s="108" t="inlineStr">
        <is>
          <t>REMEDIAL PAYMENTS GRADE 10</t>
        </is>
      </c>
      <c r="E3" s="14" t="n"/>
      <c r="H3" s="14" t="n"/>
      <c r="I3" s="14" t="inlineStr">
        <is>
          <t>1ST TERM</t>
        </is>
      </c>
      <c r="J3" s="14" t="n"/>
      <c r="K3" s="14" t="n"/>
      <c r="L3" s="14" t="inlineStr">
        <is>
          <t>2ND TERM</t>
        </is>
      </c>
      <c r="M3" s="14" t="n"/>
      <c r="N3" s="14" t="n"/>
      <c r="O3" s="14" t="n"/>
      <c r="P3" s="14" t="inlineStr">
        <is>
          <t>3RD TERM</t>
        </is>
      </c>
    </row>
    <row r="4">
      <c r="A4" s="36" t="inlineStr">
        <is>
          <t>NO.</t>
        </is>
      </c>
      <c r="B4" s="36" t="n"/>
      <c r="C4" t="inlineStr">
        <is>
          <t>NAME</t>
        </is>
      </c>
      <c r="E4" s="103" t="inlineStr">
        <is>
          <t>DEBT</t>
        </is>
      </c>
      <c r="H4" s="104" t="inlineStr">
        <is>
          <t>REPAYMENT</t>
        </is>
      </c>
    </row>
    <row r="5">
      <c r="A5" s="12" t="n"/>
      <c r="B5" s="12" t="n"/>
      <c r="C5" s="13" t="n"/>
      <c r="D5" s="13" t="inlineStr">
        <is>
          <t>ARREAS</t>
        </is>
      </c>
      <c r="E5" s="105" t="n">
        <v>2026</v>
      </c>
      <c r="F5" s="106" t="n"/>
      <c r="G5" s="106" t="n"/>
      <c r="H5" s="13" t="inlineStr">
        <is>
          <t>JAN</t>
        </is>
      </c>
      <c r="I5" s="13" t="inlineStr">
        <is>
          <t>FEB</t>
        </is>
      </c>
      <c r="J5" s="13" t="inlineStr">
        <is>
          <t>MAR</t>
        </is>
      </c>
      <c r="K5" s="13" t="inlineStr">
        <is>
          <t>APR</t>
        </is>
      </c>
      <c r="L5" s="13" t="inlineStr">
        <is>
          <t>MAY</t>
        </is>
      </c>
      <c r="M5" s="13" t="inlineStr">
        <is>
          <t>JUN</t>
        </is>
      </c>
      <c r="N5" s="13" t="inlineStr">
        <is>
          <t>JUL</t>
        </is>
      </c>
      <c r="O5" s="13" t="inlineStr">
        <is>
          <t>AUG</t>
        </is>
      </c>
      <c r="P5" s="13" t="inlineStr">
        <is>
          <t>SEP</t>
        </is>
      </c>
      <c r="Q5" s="13" t="inlineStr">
        <is>
          <t>OCT</t>
        </is>
      </c>
      <c r="R5" s="13" t="inlineStr">
        <is>
          <t>NOV</t>
        </is>
      </c>
      <c r="S5" s="13" t="inlineStr">
        <is>
          <t>PRE PAID</t>
        </is>
      </c>
      <c r="T5" s="13" t="inlineStr">
        <is>
          <t>BALANCE</t>
        </is>
      </c>
    </row>
    <row r="6">
      <c r="A6" s="15" t="inlineStr">
        <is>
          <t>01</t>
        </is>
      </c>
      <c r="B6" s="92" t="inlineStr">
        <is>
          <t>1862</t>
        </is>
      </c>
      <c r="C6" s="45" t="inlineStr">
        <is>
          <t>MODESTER ATIENO</t>
        </is>
      </c>
      <c r="D6" s="16" t="n"/>
      <c r="E6" s="98" t="n">
        <v>2200</v>
      </c>
      <c r="F6" s="99" t="n"/>
      <c r="G6" s="9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>
        <v>1200</v>
      </c>
      <c r="Q6" s="17" t="n"/>
      <c r="R6" s="17" t="n"/>
      <c r="S6" s="17" t="n"/>
      <c r="T6" s="1">
        <f>D6+SUM(E6:F6)-SUM(H6:S6)</f>
        <v/>
      </c>
    </row>
    <row r="7">
      <c r="A7" s="15" t="inlineStr">
        <is>
          <t>02</t>
        </is>
      </c>
      <c r="B7" s="92" t="n">
        <v>1863</v>
      </c>
      <c r="C7" s="92" t="inlineStr">
        <is>
          <t>OWILA DORCUS</t>
        </is>
      </c>
      <c r="D7" s="16" t="n"/>
      <c r="E7" s="98" t="n">
        <v>2200</v>
      </c>
      <c r="F7" s="99" t="n"/>
      <c r="G7" s="97" t="n"/>
      <c r="H7" s="17" t="n">
        <v>800</v>
      </c>
      <c r="I7" s="17" t="n"/>
      <c r="J7" s="17" t="n"/>
      <c r="K7" s="17" t="n"/>
      <c r="L7" s="17" t="n">
        <v>500</v>
      </c>
      <c r="M7" s="17" t="n"/>
      <c r="N7" s="17" t="n"/>
      <c r="O7" s="17" t="n"/>
      <c r="P7" s="17" t="n"/>
      <c r="Q7" s="17" t="n"/>
      <c r="R7" s="17" t="n"/>
      <c r="S7" s="17" t="n"/>
      <c r="T7" s="1">
        <f>D7+SUM(E7:G7)-SUM(H7:S7)</f>
        <v/>
      </c>
    </row>
    <row r="8">
      <c r="A8" s="15" t="inlineStr">
        <is>
          <t>03</t>
        </is>
      </c>
      <c r="B8" s="92" t="n">
        <v>1865</v>
      </c>
      <c r="C8" s="92" t="inlineStr">
        <is>
          <t>NANCY AWINO</t>
        </is>
      </c>
      <c r="D8" s="16" t="n"/>
      <c r="E8" s="96" t="n">
        <v>2200</v>
      </c>
      <c r="F8" s="97" t="n"/>
      <c r="G8" s="110" t="n"/>
      <c r="H8" s="17" t="n">
        <v>300</v>
      </c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">
        <f>D8+SUM(E8:G8)-SUM(H8:S8)</f>
        <v/>
      </c>
    </row>
    <row r="9">
      <c r="A9" s="15" t="inlineStr">
        <is>
          <t>04</t>
        </is>
      </c>
      <c r="B9" s="92" t="inlineStr">
        <is>
          <t>1866</t>
        </is>
      </c>
      <c r="C9" s="92" t="inlineStr">
        <is>
          <t>BLESSING WISHENGA</t>
        </is>
      </c>
      <c r="D9" s="16" t="n"/>
      <c r="E9" s="96" t="n">
        <v>2200</v>
      </c>
      <c r="F9" s="97" t="n"/>
      <c r="G9" s="110" t="n"/>
      <c r="H9" s="17" t="n">
        <v>800</v>
      </c>
      <c r="I9" s="17" t="n"/>
      <c r="J9" s="17" t="n"/>
      <c r="K9" s="17" t="n"/>
      <c r="L9" s="17" t="n"/>
      <c r="M9" s="17" t="n"/>
      <c r="N9" s="17" t="n">
        <v>1600</v>
      </c>
      <c r="O9" s="17" t="n"/>
      <c r="P9" s="17" t="n"/>
      <c r="Q9" s="17" t="n"/>
      <c r="R9" s="17" t="n"/>
      <c r="S9" s="17" t="n"/>
      <c r="T9" s="1">
        <f>D9+SUM(E9:G9)-SUM(H9:S9)</f>
        <v/>
      </c>
    </row>
    <row r="10">
      <c r="A10" s="15" t="inlineStr">
        <is>
          <t>05</t>
        </is>
      </c>
      <c r="B10" s="92" t="n">
        <v>1867</v>
      </c>
      <c r="C10" s="92" t="inlineStr">
        <is>
          <t>FAITH OWUOR</t>
        </is>
      </c>
      <c r="D10" s="16" t="n"/>
      <c r="E10" s="96" t="n">
        <v>2200</v>
      </c>
      <c r="F10" s="97" t="n"/>
      <c r="G10" s="110" t="n"/>
      <c r="H10" s="17" t="n">
        <v>800</v>
      </c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">
        <f>D10+SUM(E10:G10)-SUM(H10:S10)</f>
        <v/>
      </c>
    </row>
    <row r="11">
      <c r="A11" s="15" t="inlineStr">
        <is>
          <t>06</t>
        </is>
      </c>
      <c r="B11" s="92" t="inlineStr">
        <is>
          <t>1868</t>
        </is>
      </c>
      <c r="C11" s="92" t="inlineStr">
        <is>
          <t>VALLARY AKOTH</t>
        </is>
      </c>
      <c r="D11" s="16" t="n"/>
      <c r="E11" s="96" t="n">
        <v>2200</v>
      </c>
      <c r="F11" s="97" t="n"/>
      <c r="G11" s="110" t="n"/>
      <c r="H11" s="17" t="n">
        <v>800</v>
      </c>
      <c r="I11" s="17" t="n"/>
      <c r="J11" s="17" t="n"/>
      <c r="K11" s="17" t="n"/>
      <c r="L11" s="17" t="n"/>
      <c r="M11" s="17" t="n">
        <v>1300</v>
      </c>
      <c r="N11" s="17" t="n"/>
      <c r="O11" s="17" t="n"/>
      <c r="P11" s="17" t="n"/>
      <c r="Q11" s="17" t="n"/>
      <c r="R11" s="17" t="n"/>
      <c r="S11" s="17" t="n"/>
      <c r="T11" s="1">
        <f>D11+SUM(E11:G11)-SUM(H11:S11)</f>
        <v/>
      </c>
    </row>
    <row r="12" ht="14.25" customHeight="1" s="101">
      <c r="A12" s="15" t="inlineStr">
        <is>
          <t>07</t>
        </is>
      </c>
      <c r="B12" s="92" t="inlineStr">
        <is>
          <t>1871</t>
        </is>
      </c>
      <c r="C12" s="92" t="inlineStr">
        <is>
          <t>MICHEL AKINYI</t>
        </is>
      </c>
      <c r="D12" s="16" t="n"/>
      <c r="E12" s="96" t="n">
        <v>2200</v>
      </c>
      <c r="F12" s="97" t="n"/>
      <c r="G12" s="110" t="n"/>
      <c r="H12" s="17" t="n">
        <v>300</v>
      </c>
      <c r="I12" s="17" t="n"/>
      <c r="J12" s="17" t="n"/>
      <c r="K12" s="17" t="n"/>
      <c r="L12" s="17" t="n"/>
      <c r="M12" s="17" t="n"/>
      <c r="N12" s="17" t="n">
        <v>500</v>
      </c>
      <c r="O12" s="17" t="n"/>
      <c r="P12" s="17" t="n"/>
      <c r="Q12" s="17" t="n"/>
      <c r="R12" s="17" t="n"/>
      <c r="S12" s="17" t="n"/>
      <c r="T12" s="1">
        <f>D12+SUM(E12:G12)-SUM(H12:S12)</f>
        <v/>
      </c>
    </row>
    <row r="13">
      <c r="A13" s="15" t="inlineStr">
        <is>
          <t>08</t>
        </is>
      </c>
      <c r="B13" s="92" t="n">
        <v>1875</v>
      </c>
      <c r="C13" s="92" t="inlineStr">
        <is>
          <t>GLORIA AKINYI</t>
        </is>
      </c>
      <c r="D13" s="39" t="n"/>
      <c r="E13" s="98" t="n">
        <v>2200</v>
      </c>
      <c r="F13" s="99" t="n"/>
      <c r="G13" s="97" t="n"/>
      <c r="H13" s="41" t="n">
        <v>800</v>
      </c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11">
        <f>D13+SUM(E13:G13)-SUM(H13:S13)</f>
        <v/>
      </c>
    </row>
    <row r="14">
      <c r="A14" s="15" t="inlineStr">
        <is>
          <t>09</t>
        </is>
      </c>
      <c r="B14" s="92" t="n">
        <v>1878</v>
      </c>
      <c r="C14" s="92" t="inlineStr">
        <is>
          <t>MIRIAM ATIENO</t>
        </is>
      </c>
      <c r="D14" s="16" t="n"/>
      <c r="E14" s="98" t="n">
        <v>2200</v>
      </c>
      <c r="F14" s="99" t="n"/>
      <c r="G14" s="97" t="n"/>
      <c r="H14" s="41" t="n"/>
      <c r="I14" s="89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11">
        <f>D14+SUM(E14:F14)-SUM(H14:S14)</f>
        <v/>
      </c>
    </row>
    <row r="15">
      <c r="A15" s="15" t="inlineStr">
        <is>
          <t>10</t>
        </is>
      </c>
      <c r="B15" s="92" t="inlineStr">
        <is>
          <t>1880</t>
        </is>
      </c>
      <c r="C15" s="92" t="inlineStr">
        <is>
          <t>MARY ATIENO</t>
        </is>
      </c>
      <c r="D15" s="39" t="n"/>
      <c r="E15" s="96" t="n">
        <v>2200</v>
      </c>
      <c r="F15" s="97" t="n"/>
      <c r="G15" s="110" t="n"/>
      <c r="H15" s="41" t="n">
        <v>500</v>
      </c>
      <c r="I15" s="89" t="n"/>
      <c r="J15" s="41" t="n"/>
      <c r="K15" s="41" t="n"/>
      <c r="L15" s="41" t="n"/>
      <c r="M15" s="41" t="n"/>
      <c r="N15" s="41" t="n">
        <v>1000</v>
      </c>
      <c r="O15" s="41" t="n"/>
      <c r="P15" s="41" t="n"/>
      <c r="Q15" s="41" t="n"/>
      <c r="R15" s="41" t="n"/>
      <c r="S15" s="41" t="n"/>
      <c r="T15" s="11">
        <f>D15+SUM(E15:F15)-SUM(H15:S15)</f>
        <v/>
      </c>
    </row>
    <row r="16">
      <c r="A16" s="15" t="inlineStr">
        <is>
          <t>11</t>
        </is>
      </c>
      <c r="B16" s="92" t="n">
        <v>1882</v>
      </c>
      <c r="C16" s="92" t="inlineStr">
        <is>
          <t>SHIVEL ACHIENG</t>
        </is>
      </c>
      <c r="D16" s="39" t="n"/>
      <c r="E16" s="96" t="n">
        <v>2200</v>
      </c>
      <c r="F16" s="97" t="n"/>
      <c r="G16" s="110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11">
        <f>D16+SUM(E16:G16)-SUM(H16:S16)</f>
        <v/>
      </c>
    </row>
    <row r="17">
      <c r="A17" s="15" t="inlineStr">
        <is>
          <t>12</t>
        </is>
      </c>
      <c r="B17" s="92" t="n">
        <v>1881</v>
      </c>
      <c r="C17" s="92" t="inlineStr">
        <is>
          <t>SILVIA AKINYI</t>
        </is>
      </c>
      <c r="D17" s="39" t="n"/>
      <c r="E17" s="96" t="n">
        <v>2200</v>
      </c>
      <c r="F17" s="97" t="n"/>
      <c r="G17" s="110" t="n"/>
      <c r="H17" s="41" t="n">
        <v>800</v>
      </c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11">
        <f>D17+SUM(E17:G17)-SUM(H17:S17)</f>
        <v/>
      </c>
    </row>
    <row r="18">
      <c r="A18" s="15" t="inlineStr">
        <is>
          <t>13</t>
        </is>
      </c>
      <c r="B18" s="92" t="n">
        <v>1886</v>
      </c>
      <c r="C18" s="45" t="inlineStr">
        <is>
          <t>ROSEMARY AWUOR</t>
        </is>
      </c>
      <c r="D18" s="39" t="n"/>
      <c r="E18" s="96" t="n">
        <v>2200</v>
      </c>
      <c r="F18" s="97" t="n"/>
      <c r="G18" s="110" t="n"/>
      <c r="H18" s="41" t="n">
        <v>800</v>
      </c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11">
        <f>D18+SUM(E18:G18)-SUM(H18:S18)</f>
        <v/>
      </c>
    </row>
    <row r="19">
      <c r="A19" s="15" t="inlineStr">
        <is>
          <t>14</t>
        </is>
      </c>
      <c r="B19" s="92" t="n">
        <v>1893</v>
      </c>
      <c r="C19" s="92" t="inlineStr">
        <is>
          <t>HANA ANYANGO</t>
        </is>
      </c>
      <c r="D19" s="39" t="n"/>
      <c r="E19" s="96" t="n">
        <v>2200</v>
      </c>
      <c r="F19" s="97" t="n"/>
      <c r="G19" s="110" t="n"/>
      <c r="H19" s="17" t="n">
        <v>800</v>
      </c>
      <c r="I19" s="52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11">
        <f>D19+SUM(E19:G19)-SUM(H19:S19)</f>
        <v/>
      </c>
    </row>
    <row r="20">
      <c r="A20" s="15" t="inlineStr">
        <is>
          <t>15</t>
        </is>
      </c>
      <c r="B20" s="92" t="n">
        <v>1889</v>
      </c>
      <c r="C20" s="45" t="inlineStr">
        <is>
          <t>NICKOLE VALL</t>
        </is>
      </c>
      <c r="D20" s="39" t="n"/>
      <c r="E20" s="96" t="n">
        <v>2200</v>
      </c>
      <c r="F20" s="97" t="n"/>
      <c r="G20" s="110" t="n"/>
      <c r="H20" s="41" t="n">
        <v>800</v>
      </c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11">
        <f>D20+SUM(E20:G20)-SUM(H20:S20)</f>
        <v/>
      </c>
    </row>
    <row r="21">
      <c r="A21" s="15" t="inlineStr">
        <is>
          <t>16</t>
        </is>
      </c>
      <c r="B21" s="92" t="n">
        <v>1895</v>
      </c>
      <c r="C21" s="45" t="inlineStr">
        <is>
          <t>LAURINE ACHIENG</t>
        </is>
      </c>
      <c r="D21" s="39" t="n"/>
      <c r="E21" s="96" t="n">
        <v>2200</v>
      </c>
      <c r="F21" s="97" t="n"/>
      <c r="G21" s="110" t="n"/>
      <c r="H21" s="41" t="n">
        <v>800</v>
      </c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11">
        <f>D21+SUM(E21:G21)-SUM(H21:S21)</f>
        <v/>
      </c>
    </row>
    <row r="22">
      <c r="A22" s="15" t="inlineStr">
        <is>
          <t>17</t>
        </is>
      </c>
      <c r="B22" s="92" t="inlineStr">
        <is>
          <t>1896</t>
        </is>
      </c>
      <c r="C22" s="92" t="inlineStr">
        <is>
          <t>MACREEN CINDY</t>
        </is>
      </c>
      <c r="D22" s="16" t="n"/>
      <c r="E22" s="98" t="n">
        <v>2200</v>
      </c>
      <c r="F22" s="99" t="n"/>
      <c r="G22" s="97" t="n"/>
      <c r="H22" s="17" t="n">
        <v>800</v>
      </c>
      <c r="I22" s="17" t="n"/>
      <c r="J22" s="17" t="n"/>
      <c r="K22" s="17" t="n"/>
      <c r="L22" s="17" t="n"/>
      <c r="M22" s="17" t="n">
        <v>1500</v>
      </c>
      <c r="N22" s="17" t="n"/>
      <c r="O22" s="17" t="n"/>
      <c r="P22" s="17" t="n"/>
      <c r="Q22" s="17" t="n"/>
      <c r="R22" s="17" t="n"/>
      <c r="S22" s="17" t="n"/>
      <c r="T22" s="1">
        <f>D22+SUM(E22:F22)-SUM(H22:S22)</f>
        <v/>
      </c>
    </row>
    <row r="23">
      <c r="A23" s="15" t="inlineStr">
        <is>
          <t>18</t>
        </is>
      </c>
      <c r="B23" s="92" t="inlineStr">
        <is>
          <t>1898</t>
        </is>
      </c>
      <c r="C23" s="45" t="inlineStr">
        <is>
          <t>VELMA ANYANGO</t>
        </is>
      </c>
      <c r="D23" s="16" t="n"/>
      <c r="E23" s="98" t="n">
        <v>2200</v>
      </c>
      <c r="F23" s="99" t="n"/>
      <c r="G23" s="97" t="n"/>
      <c r="H23" s="17" t="n">
        <v>600</v>
      </c>
      <c r="I23" s="17" t="n"/>
      <c r="J23" s="17" t="n"/>
      <c r="K23" s="17" t="n"/>
      <c r="L23" s="17" t="n"/>
      <c r="M23" s="17" t="n"/>
      <c r="N23" s="17" t="n">
        <v>1000</v>
      </c>
      <c r="O23" s="17" t="n"/>
      <c r="P23" s="17" t="n"/>
      <c r="Q23" s="17" t="n"/>
      <c r="R23" s="17" t="n"/>
      <c r="S23" s="17" t="n"/>
      <c r="T23" s="1">
        <f>D23+SUM(E23:G23)-SUM(H23:S23)</f>
        <v/>
      </c>
    </row>
    <row r="24">
      <c r="A24" s="15" t="inlineStr">
        <is>
          <t>19</t>
        </is>
      </c>
      <c r="B24" s="92" t="n">
        <v>1899</v>
      </c>
      <c r="C24" s="45" t="inlineStr">
        <is>
          <t>SHYLLIN MORAA</t>
        </is>
      </c>
      <c r="D24" s="16" t="n"/>
      <c r="E24" s="98" t="n">
        <v>2200</v>
      </c>
      <c r="F24" s="99" t="n"/>
      <c r="G24" s="97" t="n"/>
      <c r="H24" s="17" t="n">
        <v>0</v>
      </c>
      <c r="I24" s="17" t="n"/>
      <c r="J24" s="17" t="n"/>
      <c r="K24" s="17" t="n"/>
      <c r="L24" s="17" t="n"/>
      <c r="M24" s="17" t="n"/>
      <c r="N24" s="17" t="n"/>
      <c r="O24" s="17" t="n"/>
      <c r="P24" s="37" t="n"/>
      <c r="Q24" s="17" t="n"/>
      <c r="R24" s="17" t="n"/>
      <c r="S24" s="17" t="n"/>
      <c r="T24" s="1">
        <f>D24+SUM(E24:G24)-SUM(H24:S24)</f>
        <v/>
      </c>
    </row>
    <row r="25">
      <c r="A25" s="15" t="inlineStr">
        <is>
          <t>20</t>
        </is>
      </c>
      <c r="B25" s="92" t="n">
        <v>1903</v>
      </c>
      <c r="C25" s="45" t="inlineStr">
        <is>
          <t>FIONA FENNY</t>
        </is>
      </c>
      <c r="D25" s="16" t="n"/>
      <c r="E25" s="98" t="n">
        <v>2200</v>
      </c>
      <c r="F25" s="99" t="n"/>
      <c r="G25" s="97" t="n"/>
      <c r="H25" s="17" t="n">
        <v>500</v>
      </c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">
        <f>D25+SUM(E25:G25)-SUM(H25:S25)</f>
        <v/>
      </c>
    </row>
    <row r="26">
      <c r="A26" s="15" t="inlineStr">
        <is>
          <t>21</t>
        </is>
      </c>
      <c r="B26" s="92" t="n">
        <v>1904</v>
      </c>
      <c r="C26" s="92" t="inlineStr">
        <is>
          <t>FAITH ADHIAMBO</t>
        </is>
      </c>
      <c r="D26" s="16" t="n"/>
      <c r="E26" s="96" t="n">
        <v>2200</v>
      </c>
      <c r="F26" s="97" t="n"/>
      <c r="G26" s="110" t="n"/>
      <c r="H26" s="17" t="n">
        <v>0</v>
      </c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1">
        <f>D26+SUM(E26:G26)-SUM(H26:S26)</f>
        <v/>
      </c>
    </row>
    <row r="27">
      <c r="A27" s="15" t="inlineStr">
        <is>
          <t>23</t>
        </is>
      </c>
      <c r="B27" s="92" t="n">
        <v>1908</v>
      </c>
      <c r="C27" s="92" t="inlineStr">
        <is>
          <t>MITCHEL  AMONDI</t>
        </is>
      </c>
      <c r="D27" s="16" t="n"/>
      <c r="E27" s="96" t="n">
        <v>2200</v>
      </c>
      <c r="F27" s="97" t="n"/>
      <c r="G27" s="110" t="n"/>
      <c r="H27" s="17" t="n"/>
      <c r="I27" s="91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">
        <f>D27+SUM(E27:F27)-SUM(H27:S27)</f>
        <v/>
      </c>
    </row>
    <row r="28">
      <c r="A28" s="15" t="inlineStr">
        <is>
          <t>24</t>
        </is>
      </c>
      <c r="B28" s="92" t="inlineStr">
        <is>
          <t>1907</t>
        </is>
      </c>
      <c r="C28" s="92" t="inlineStr">
        <is>
          <t>GRACE  ADHIAMBO</t>
        </is>
      </c>
      <c r="D28" s="16" t="n"/>
      <c r="E28" s="96" t="n">
        <v>2200</v>
      </c>
      <c r="F28" s="97" t="n"/>
      <c r="G28" s="110" t="n"/>
      <c r="H28" s="17" t="n">
        <v>800</v>
      </c>
      <c r="I28" s="17" t="n"/>
      <c r="J28" s="17" t="n"/>
      <c r="K28" s="17" t="n"/>
      <c r="L28" s="17" t="n"/>
      <c r="M28" s="17" t="n"/>
      <c r="N28" s="17" t="n">
        <v>1100</v>
      </c>
      <c r="O28" s="17" t="n"/>
      <c r="P28" s="17" t="n"/>
      <c r="Q28" s="17" t="n"/>
      <c r="R28" s="17" t="n"/>
      <c r="S28" s="17" t="n"/>
      <c r="T28" s="1">
        <f>D28+SUM(E28:G28)-SUM(H28:S28)</f>
        <v/>
      </c>
    </row>
    <row r="29">
      <c r="A29" s="15" t="inlineStr">
        <is>
          <t>25</t>
        </is>
      </c>
      <c r="B29" s="92" t="n">
        <v>1909</v>
      </c>
      <c r="C29" s="92" t="inlineStr">
        <is>
          <t>MARY ATIENO</t>
        </is>
      </c>
      <c r="D29" s="16" t="n"/>
      <c r="E29" s="96" t="n">
        <v>2200</v>
      </c>
      <c r="F29" s="97" t="n"/>
      <c r="G29" s="110" t="n"/>
      <c r="H29" s="17" t="n">
        <v>800</v>
      </c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">
        <f>D29+SUM(E29:G29)-SUM(H29:S29)</f>
        <v/>
      </c>
    </row>
    <row r="30">
      <c r="A30" s="15" t="inlineStr">
        <is>
          <t>26</t>
        </is>
      </c>
      <c r="B30" s="92" t="n">
        <v>1915</v>
      </c>
      <c r="C30" s="45" t="inlineStr">
        <is>
          <t>MACRINE  AKINYI</t>
        </is>
      </c>
      <c r="D30" s="16" t="n"/>
      <c r="E30" s="98" t="n">
        <v>2200</v>
      </c>
      <c r="F30" s="99" t="n"/>
      <c r="G30" s="97" t="n"/>
      <c r="H30" s="17" t="n">
        <v>800</v>
      </c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">
        <f>D30+SUM(E30:G30)-SUM(H30:S30)</f>
        <v/>
      </c>
    </row>
    <row r="31">
      <c r="A31" s="15" t="inlineStr">
        <is>
          <t>27</t>
        </is>
      </c>
      <c r="B31" s="92" t="n">
        <v>1916</v>
      </c>
      <c r="C31" s="92" t="inlineStr">
        <is>
          <t xml:space="preserve">ATIENO  SHARON </t>
        </is>
      </c>
      <c r="D31" s="19" t="n"/>
      <c r="E31" s="98" t="n">
        <v>2200</v>
      </c>
      <c r="F31" s="99" t="n"/>
      <c r="G31" s="97" t="n"/>
      <c r="H31" s="20" t="n">
        <v>400</v>
      </c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">
        <f>D31+SUM(E31:G31)-SUM(H31:S31)</f>
        <v/>
      </c>
    </row>
    <row r="32" ht="15.75" customHeight="1" s="101" thickBot="1">
      <c r="A32" s="21" t="n"/>
      <c r="B32" s="21" t="n"/>
      <c r="C32" s="22" t="inlineStr">
        <is>
          <t>TOTAL</t>
        </is>
      </c>
      <c r="D32" s="7">
        <f>SUM(D6:D31)</f>
        <v/>
      </c>
      <c r="E32" s="8">
        <f>SUM(E6:E31)</f>
        <v/>
      </c>
      <c r="F32" s="8">
        <f>SUM(F6:F31)</f>
        <v/>
      </c>
      <c r="G32" s="8">
        <f>SUM(G6:G31)</f>
        <v/>
      </c>
      <c r="H32" s="8">
        <f>SUM(H6:H31)</f>
        <v/>
      </c>
      <c r="I32" s="8">
        <f>SUM(I6:I31)</f>
        <v/>
      </c>
      <c r="J32" s="8">
        <f>SUM(J6:J31)</f>
        <v/>
      </c>
      <c r="K32" s="8">
        <f>SUM(K6:K31)</f>
        <v/>
      </c>
      <c r="L32" s="8">
        <f>SUM(L6:L31)</f>
        <v/>
      </c>
      <c r="M32" s="8">
        <f>SUM(M6:M31)</f>
        <v/>
      </c>
      <c r="N32" s="8">
        <f>SUM(N6:N31)</f>
        <v/>
      </c>
      <c r="O32" s="8">
        <f>SUM(O6:O31)</f>
        <v/>
      </c>
      <c r="P32" s="8">
        <f>SUM(P6:P31)</f>
        <v/>
      </c>
      <c r="Q32" s="8">
        <f>SUM(Q6:Q31)</f>
        <v/>
      </c>
      <c r="R32" s="8">
        <f>SUM(R6:R31)</f>
        <v/>
      </c>
      <c r="S32" s="8">
        <f>SUM(S6:S31)</f>
        <v/>
      </c>
      <c r="T32" s="9">
        <f>SUM(T6:T31)</f>
        <v/>
      </c>
    </row>
    <row r="33">
      <c r="A33" s="46" t="n"/>
      <c r="B33" s="46" t="n"/>
      <c r="C33" s="47" t="n"/>
      <c r="D33" s="48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50" t="n"/>
    </row>
    <row r="34">
      <c r="A34" s="46" t="n"/>
      <c r="B34" s="46" t="n"/>
      <c r="C34" s="47" t="n"/>
      <c r="D34" s="48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50" t="n"/>
    </row>
    <row r="35">
      <c r="A35" s="46" t="n"/>
      <c r="B35" s="46" t="n"/>
      <c r="C35" s="47" t="n"/>
      <c r="D35" s="48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50" t="n"/>
    </row>
    <row r="36" ht="18" customHeight="1" s="101">
      <c r="A36" s="100" t="inlineStr">
        <is>
          <t>KIREMBE SECONDARY SCHOOL.</t>
        </is>
      </c>
    </row>
    <row r="37">
      <c r="A37" s="108" t="inlineStr">
        <is>
          <t>REMEDIAL PAYMENTS GRADE 10</t>
        </is>
      </c>
      <c r="E37" s="14" t="n"/>
      <c r="H37" s="14" t="n"/>
      <c r="I37" s="14" t="inlineStr">
        <is>
          <t>1ST TERM</t>
        </is>
      </c>
      <c r="J37" s="14" t="n"/>
      <c r="K37" s="14" t="n"/>
      <c r="L37" s="14" t="inlineStr">
        <is>
          <t>2ND TERM</t>
        </is>
      </c>
      <c r="M37" s="14" t="n"/>
      <c r="N37" s="14" t="n"/>
      <c r="O37" s="14" t="n"/>
      <c r="P37" s="14" t="inlineStr">
        <is>
          <t>3RD TERM</t>
        </is>
      </c>
    </row>
    <row r="38">
      <c r="A38" s="36" t="inlineStr">
        <is>
          <t>NO.</t>
        </is>
      </c>
      <c r="B38" s="36" t="inlineStr">
        <is>
          <t>ADM</t>
        </is>
      </c>
      <c r="C38" t="inlineStr">
        <is>
          <t>NAME</t>
        </is>
      </c>
      <c r="E38" s="103" t="inlineStr">
        <is>
          <t>DEBT</t>
        </is>
      </c>
      <c r="H38" s="104" t="inlineStr">
        <is>
          <t>REPAYMENT</t>
        </is>
      </c>
    </row>
    <row r="39">
      <c r="A39" s="12" t="n"/>
      <c r="B39" s="12" t="n"/>
      <c r="C39" s="13" t="n"/>
      <c r="D39" s="13" t="inlineStr">
        <is>
          <t>ARREAS</t>
        </is>
      </c>
      <c r="E39" s="105" t="n">
        <v>2026</v>
      </c>
      <c r="F39" s="106" t="n"/>
      <c r="G39" s="106" t="n"/>
      <c r="H39" s="13" t="inlineStr">
        <is>
          <t>JAN</t>
        </is>
      </c>
      <c r="I39" s="13" t="inlineStr">
        <is>
          <t>FEB</t>
        </is>
      </c>
      <c r="J39" s="13" t="inlineStr">
        <is>
          <t>MAR</t>
        </is>
      </c>
      <c r="K39" s="13" t="inlineStr">
        <is>
          <t>APR</t>
        </is>
      </c>
      <c r="L39" s="13" t="inlineStr">
        <is>
          <t>MAY</t>
        </is>
      </c>
      <c r="M39" s="13" t="inlineStr">
        <is>
          <t>JUN</t>
        </is>
      </c>
      <c r="N39" s="13" t="inlineStr">
        <is>
          <t>JUL</t>
        </is>
      </c>
      <c r="O39" s="13" t="inlineStr">
        <is>
          <t>AUG</t>
        </is>
      </c>
      <c r="P39" s="13" t="inlineStr">
        <is>
          <t>SEP</t>
        </is>
      </c>
      <c r="Q39" s="13" t="inlineStr">
        <is>
          <t>OCT</t>
        </is>
      </c>
      <c r="R39" s="13" t="inlineStr">
        <is>
          <t>NOV</t>
        </is>
      </c>
      <c r="S39" s="13" t="inlineStr">
        <is>
          <t>PRE PAID</t>
        </is>
      </c>
      <c r="T39" s="13" t="inlineStr">
        <is>
          <t>BALANCE</t>
        </is>
      </c>
    </row>
    <row r="40">
      <c r="A40" s="15" t="n"/>
      <c r="B40" s="92" t="n">
        <v>1</v>
      </c>
      <c r="C40" s="24" t="inlineStr">
        <is>
          <t>BALANCE B/D</t>
        </is>
      </c>
      <c r="D40" s="25">
        <f>D32</f>
        <v/>
      </c>
      <c r="E40" s="98">
        <f>E32</f>
        <v/>
      </c>
      <c r="F40" s="99" t="n"/>
      <c r="G40" s="97" t="n"/>
      <c r="H40" s="26">
        <f>H32</f>
        <v/>
      </c>
      <c r="I40" s="27">
        <f>I32</f>
        <v/>
      </c>
      <c r="J40" s="27">
        <f>J32</f>
        <v/>
      </c>
      <c r="K40" s="27">
        <f>K32</f>
        <v/>
      </c>
      <c r="L40" s="27">
        <f>L32</f>
        <v/>
      </c>
      <c r="M40" s="27">
        <f>M32</f>
        <v/>
      </c>
      <c r="N40" s="27">
        <f>N32</f>
        <v/>
      </c>
      <c r="O40" s="27">
        <f>O32</f>
        <v/>
      </c>
      <c r="P40" s="27">
        <f>P32</f>
        <v/>
      </c>
      <c r="Q40" s="27">
        <f>Q32</f>
        <v/>
      </c>
      <c r="R40" s="27" t="n"/>
      <c r="S40" s="26">
        <f>S32</f>
        <v/>
      </c>
      <c r="T40" s="1">
        <f>T32</f>
        <v/>
      </c>
    </row>
    <row r="41">
      <c r="A41" s="15" t="inlineStr">
        <is>
          <t>28</t>
        </is>
      </c>
      <c r="B41" s="92" t="inlineStr">
        <is>
          <t>1918</t>
        </is>
      </c>
      <c r="C41" s="23" t="inlineStr">
        <is>
          <t>VALICIA  ANYANGO</t>
        </is>
      </c>
      <c r="D41" s="19" t="n"/>
      <c r="E41" s="98" t="n">
        <v>2200</v>
      </c>
      <c r="F41" s="99" t="n"/>
      <c r="G41" s="97" t="n"/>
      <c r="H41" s="17" t="n">
        <v>500</v>
      </c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">
        <f>D41+SUM(E41:F41)-SUM(H41:S41)</f>
        <v/>
      </c>
    </row>
    <row r="42">
      <c r="A42" s="15" t="inlineStr">
        <is>
          <t>29</t>
        </is>
      </c>
      <c r="B42" s="92" t="n">
        <v>1920</v>
      </c>
      <c r="C42" s="45" t="inlineStr">
        <is>
          <t>OUMA   MITCHELLE</t>
        </is>
      </c>
      <c r="D42" s="16" t="n"/>
      <c r="E42" s="96" t="n">
        <v>2200</v>
      </c>
      <c r="F42" s="97" t="n"/>
      <c r="G42" s="110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">
        <f>D42+SUM(E42:G42)-SUM(H42:S42)</f>
        <v/>
      </c>
    </row>
    <row r="43">
      <c r="A43" s="15" t="inlineStr">
        <is>
          <t>30</t>
        </is>
      </c>
      <c r="B43" s="92" t="n">
        <v>1922</v>
      </c>
      <c r="C43" s="45" t="inlineStr">
        <is>
          <t>BLESSINGS  ACHIENG</t>
        </is>
      </c>
      <c r="D43" s="55" t="n"/>
      <c r="E43" s="96" t="n">
        <v>2200</v>
      </c>
      <c r="F43" s="97" t="n"/>
      <c r="G43" s="110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">
        <f>D43+SUM(E43:G43)-SUM(H43:S43)</f>
        <v/>
      </c>
    </row>
    <row r="44">
      <c r="A44" s="15" t="inlineStr">
        <is>
          <t>31</t>
        </is>
      </c>
      <c r="B44" s="92" t="n">
        <v>1923</v>
      </c>
      <c r="C44" s="45" t="inlineStr">
        <is>
          <t>BRENDA OTUMBA</t>
        </is>
      </c>
      <c r="D44" s="39" t="n"/>
      <c r="E44" s="98" t="n">
        <v>2200</v>
      </c>
      <c r="F44" s="99" t="n"/>
      <c r="G44" s="9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1">
        <f>D44+SUM(E44:G44)-SUM(H44:S44)</f>
        <v/>
      </c>
    </row>
    <row r="45">
      <c r="A45" s="15" t="inlineStr">
        <is>
          <t>32</t>
        </is>
      </c>
      <c r="B45" s="92" t="n"/>
      <c r="C45" s="92" t="n"/>
      <c r="D45" s="18" t="n"/>
      <c r="E45" s="96" t="n"/>
      <c r="F45" s="97" t="n"/>
      <c r="G45" s="110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">
        <f>D45+SUM(E45:G45)-SUM(H45:S45)</f>
        <v/>
      </c>
    </row>
    <row r="46">
      <c r="A46" s="15" t="inlineStr">
        <is>
          <t>33</t>
        </is>
      </c>
      <c r="B46" s="92" t="n"/>
      <c r="C46" s="92" t="n"/>
      <c r="D46" s="16" t="n"/>
      <c r="E46" s="96" t="n"/>
      <c r="F46" s="97" t="n"/>
      <c r="G46" s="110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">
        <f>D46+SUM(E46:F46)-SUM(H46:S46)</f>
        <v/>
      </c>
    </row>
    <row r="47">
      <c r="A47" s="15" t="inlineStr">
        <is>
          <t>34</t>
        </is>
      </c>
      <c r="B47" s="92" t="n"/>
      <c r="C47" s="92" t="n"/>
      <c r="D47" s="16" t="n"/>
      <c r="E47" s="96" t="n"/>
      <c r="F47" s="97" t="n"/>
      <c r="G47" s="110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">
        <f>D47+SUM(E47:G47)-SUM(H47:S47)</f>
        <v/>
      </c>
    </row>
    <row r="48">
      <c r="A48" s="15" t="inlineStr">
        <is>
          <t>36</t>
        </is>
      </c>
      <c r="B48" s="92" t="n"/>
      <c r="C48" s="45" t="n"/>
      <c r="D48" s="16" t="n"/>
      <c r="E48" s="98" t="n"/>
      <c r="F48" s="99" t="n"/>
      <c r="G48" s="97" t="n"/>
      <c r="H48" s="17" t="n"/>
      <c r="I48" s="17" t="n"/>
      <c r="J48" s="17" t="n"/>
      <c r="K48" s="17" t="n"/>
      <c r="L48" s="37" t="n"/>
      <c r="M48" s="17" t="n"/>
      <c r="N48" s="17" t="n"/>
      <c r="O48" s="17" t="n"/>
      <c r="P48" s="17" t="n"/>
      <c r="Q48" s="17" t="n"/>
      <c r="R48" s="17" t="n"/>
      <c r="S48" s="17" t="n"/>
      <c r="T48" s="10">
        <f>D48+SUM(E48:G48)-SUM(H48:S48)</f>
        <v/>
      </c>
    </row>
    <row r="49">
      <c r="A49" s="15" t="inlineStr">
        <is>
          <t>37</t>
        </is>
      </c>
      <c r="B49" s="92" t="n"/>
      <c r="C49" s="92" t="n"/>
      <c r="D49" s="16" t="n"/>
      <c r="E49" s="96" t="n"/>
      <c r="F49" s="97" t="n"/>
      <c r="G49" s="110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">
        <f>D49+SUM(E49:G49)-SUM(H49:S49)</f>
        <v/>
      </c>
    </row>
    <row r="50">
      <c r="A50" s="15" t="inlineStr">
        <is>
          <t>38</t>
        </is>
      </c>
      <c r="B50" s="92" t="n"/>
      <c r="C50" s="92" t="n"/>
      <c r="D50" s="16" t="n"/>
      <c r="E50" s="96" t="n"/>
      <c r="F50" s="97" t="n"/>
      <c r="G50" s="110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">
        <f>D50+SUM(E50:G50)-SUM(H50:S50)</f>
        <v/>
      </c>
    </row>
    <row r="51">
      <c r="A51" s="15" t="inlineStr">
        <is>
          <t>39</t>
        </is>
      </c>
      <c r="B51" s="92" t="n"/>
      <c r="C51" s="92" t="n"/>
      <c r="D51" s="16" t="n"/>
      <c r="E51" s="96" t="n"/>
      <c r="F51" s="97" t="n"/>
      <c r="G51" s="110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">
        <f>D51+SUM(E51:G51)-SUM(H51:S51)</f>
        <v/>
      </c>
    </row>
    <row r="52">
      <c r="A52" s="15" t="inlineStr">
        <is>
          <t>40</t>
        </is>
      </c>
      <c r="B52" s="92" t="n"/>
      <c r="C52" s="45" t="n"/>
      <c r="D52" s="16" t="n"/>
      <c r="E52" s="96" t="n"/>
      <c r="F52" s="97" t="n"/>
      <c r="G52" s="110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">
        <f>D52+SUM(E52:G52)-SUM(H52:S52)</f>
        <v/>
      </c>
    </row>
    <row r="53">
      <c r="A53" s="15" t="inlineStr">
        <is>
          <t>41</t>
        </is>
      </c>
      <c r="B53" s="92" t="n"/>
      <c r="C53" s="45" t="n"/>
      <c r="D53" s="19" t="n"/>
      <c r="E53" s="96" t="n"/>
      <c r="F53" s="97" t="n"/>
      <c r="G53" s="11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1">
        <f>D53+SUM(E53:G53)-SUM(H53:S53)</f>
        <v/>
      </c>
    </row>
    <row r="54">
      <c r="A54" s="15" t="inlineStr">
        <is>
          <t>42</t>
        </is>
      </c>
      <c r="B54" s="92" t="n"/>
      <c r="C54" s="92" t="n"/>
      <c r="D54" s="16" t="n"/>
      <c r="E54" s="96" t="n"/>
      <c r="F54" s="97" t="n"/>
      <c r="G54" s="110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">
        <f>D54+SUM(E54:G54)-SUM(H54:S54)</f>
        <v/>
      </c>
    </row>
    <row r="55">
      <c r="A55" s="15" t="inlineStr">
        <is>
          <t>43</t>
        </is>
      </c>
      <c r="B55" s="92" t="n"/>
      <c r="C55" s="45" t="n"/>
      <c r="D55" s="16" t="n"/>
      <c r="E55" s="96" t="n"/>
      <c r="F55" s="97" t="n"/>
      <c r="G55" s="110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">
        <f>D55+SUM(E55:G55)-SUM(H55:S55)</f>
        <v/>
      </c>
    </row>
    <row r="56">
      <c r="A56" s="15" t="n"/>
      <c r="B56" s="92" t="n"/>
      <c r="C56" s="92" t="n"/>
      <c r="D56" s="16" t="n"/>
      <c r="E56" s="98" t="n"/>
      <c r="F56" s="99" t="n"/>
      <c r="G56" s="9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">
        <f>D56+SUM(E56:G56)-SUM(H56:S56)</f>
        <v/>
      </c>
    </row>
    <row r="57">
      <c r="A57" s="15" t="n"/>
      <c r="B57" s="92" t="n"/>
      <c r="C57" s="45" t="n"/>
      <c r="D57" s="16" t="n"/>
      <c r="E57" s="96" t="n"/>
      <c r="F57" s="97" t="n"/>
      <c r="G57" s="110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">
        <f>D57+SUM(E57:G57)-SUM(H57:S57)</f>
        <v/>
      </c>
    </row>
    <row r="58">
      <c r="A58" s="15" t="n"/>
      <c r="B58" s="92" t="n"/>
      <c r="C58" s="45" t="n"/>
      <c r="D58" s="16" t="n"/>
      <c r="E58" s="96" t="n"/>
      <c r="F58" s="97" t="n"/>
      <c r="G58" s="110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">
        <f>D58+SUM(E58:G58)-SUM(H58:S58)</f>
        <v/>
      </c>
    </row>
    <row r="59" ht="15.75" customHeight="1" s="101" thickBot="1">
      <c r="A59" s="21" t="n"/>
      <c r="B59" s="21" t="n"/>
      <c r="C59" s="22" t="inlineStr">
        <is>
          <t>TOTAL</t>
        </is>
      </c>
      <c r="D59" s="7">
        <f>SUM(D40:D58)</f>
        <v/>
      </c>
      <c r="E59" s="8">
        <f>SUM(E40:E58)</f>
        <v/>
      </c>
      <c r="F59" s="8">
        <f>SUM(F40:F53)</f>
        <v/>
      </c>
      <c r="G59" s="8">
        <f>SUM(G40:G53)</f>
        <v/>
      </c>
      <c r="H59" s="8">
        <f>SUM(H40:H58)+J59</f>
        <v/>
      </c>
      <c r="I59" s="8">
        <f>SUM(I40:I58)</f>
        <v/>
      </c>
      <c r="J59" s="8">
        <f>SUM(J40:J58)</f>
        <v/>
      </c>
      <c r="K59" s="8">
        <f>SUM(K40:K53)</f>
        <v/>
      </c>
      <c r="L59" s="8">
        <f>SUM(L40:L58)</f>
        <v/>
      </c>
      <c r="M59" s="8">
        <f>SUM(M40:M58)</f>
        <v/>
      </c>
      <c r="N59" s="8">
        <f>SUM(N40:N58)</f>
        <v/>
      </c>
      <c r="O59" s="8">
        <f>SUM(O40:O58)</f>
        <v/>
      </c>
      <c r="P59" s="8">
        <f>SUM(P40:P58)</f>
        <v/>
      </c>
      <c r="Q59" s="8">
        <f>SUM(Q40:Q58)</f>
        <v/>
      </c>
      <c r="R59" s="8">
        <f>SUM(R40:R58)</f>
        <v/>
      </c>
      <c r="S59" s="8">
        <f>SUM(S40:S58)</f>
        <v/>
      </c>
      <c r="T59" s="9">
        <f>SUM(T40:T58)</f>
        <v/>
      </c>
    </row>
    <row r="60">
      <c r="A60" s="46" t="n"/>
      <c r="B60" s="46" t="n"/>
      <c r="C60" s="47" t="n"/>
      <c r="D60" s="48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50" t="n"/>
    </row>
    <row r="61">
      <c r="A61" s="46" t="n"/>
      <c r="B61" s="46" t="n"/>
      <c r="C61" s="47" t="n"/>
      <c r="D61" s="48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50" t="n"/>
    </row>
    <row r="62">
      <c r="A62" s="46" t="n"/>
      <c r="B62" s="46" t="n"/>
      <c r="C62" s="47" t="n"/>
      <c r="D62" s="48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50" t="n"/>
    </row>
    <row r="63">
      <c r="A63" s="46" t="n"/>
      <c r="B63" s="46" t="n"/>
      <c r="C63" s="47" t="n"/>
      <c r="D63" s="48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50" t="n"/>
    </row>
    <row r="64">
      <c r="A64" s="46" t="n"/>
      <c r="B64" s="46" t="n"/>
      <c r="C64" s="47" t="inlineStr">
        <is>
          <t>TOTAL COLLECTION G10 GIRLS</t>
        </is>
      </c>
      <c r="D64" s="48" t="n"/>
      <c r="E64" s="49">
        <f>H59</f>
        <v/>
      </c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50" t="n"/>
    </row>
    <row r="65">
      <c r="A65" s="46" t="n"/>
      <c r="B65" s="46" t="n"/>
      <c r="C65" s="47" t="n"/>
      <c r="D65" s="48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50" t="n"/>
    </row>
    <row r="66">
      <c r="A66" s="46" t="n"/>
      <c r="B66" s="46" t="n"/>
      <c r="C66" s="47" t="n"/>
      <c r="D66" s="48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50" t="n"/>
    </row>
    <row r="67">
      <c r="A67" s="46" t="n"/>
      <c r="B67" s="46" t="n"/>
      <c r="C67" s="47" t="n"/>
      <c r="D67" s="48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50" t="n"/>
    </row>
    <row r="68" ht="18" customHeight="1" s="101">
      <c r="A68" s="100" t="inlineStr">
        <is>
          <t>KIREMBE SECONDARY SCHOOL.</t>
        </is>
      </c>
    </row>
    <row r="69">
      <c r="A69" s="108" t="inlineStr">
        <is>
          <t xml:space="preserve"> FEE REGISTER(LUNCH)2026 GRADE 10.C.</t>
        </is>
      </c>
      <c r="E69" s="14" t="n"/>
      <c r="H69" s="14" t="inlineStr">
        <is>
          <t>1ST TERM</t>
        </is>
      </c>
      <c r="M69" s="14" t="inlineStr">
        <is>
          <t>2ND TERM</t>
        </is>
      </c>
      <c r="N69" s="14" t="n"/>
      <c r="P69" s="14" t="inlineStr">
        <is>
          <t>3RD TERM</t>
        </is>
      </c>
    </row>
    <row r="70">
      <c r="A70" s="36" t="inlineStr">
        <is>
          <t>NO.</t>
        </is>
      </c>
      <c r="B70" s="85" t="inlineStr">
        <is>
          <t>ADM</t>
        </is>
      </c>
      <c r="C70" t="inlineStr">
        <is>
          <t>NAME</t>
        </is>
      </c>
      <c r="E70" s="103" t="inlineStr">
        <is>
          <t>DEBT</t>
        </is>
      </c>
      <c r="H70" s="104" t="inlineStr">
        <is>
          <t>REPAYMENT</t>
        </is>
      </c>
    </row>
    <row r="71">
      <c r="A71" s="12" t="n"/>
      <c r="B71" s="12" t="n"/>
      <c r="C71" s="13" t="n"/>
      <c r="D71" s="13" t="inlineStr">
        <is>
          <t>ARREAS</t>
        </is>
      </c>
      <c r="E71" s="105" t="n">
        <v>2026</v>
      </c>
      <c r="F71" s="106" t="n"/>
      <c r="G71" s="106" t="n"/>
      <c r="H71" s="13" t="inlineStr">
        <is>
          <t>JAN</t>
        </is>
      </c>
      <c r="I71" s="13" t="inlineStr">
        <is>
          <t>FEB</t>
        </is>
      </c>
      <c r="J71" s="13" t="inlineStr">
        <is>
          <t>MAR</t>
        </is>
      </c>
      <c r="K71" s="13" t="inlineStr">
        <is>
          <t>APR</t>
        </is>
      </c>
      <c r="L71" s="13" t="inlineStr">
        <is>
          <t>MAY</t>
        </is>
      </c>
      <c r="M71" s="13" t="inlineStr">
        <is>
          <t>JUN</t>
        </is>
      </c>
      <c r="N71" s="13" t="inlineStr">
        <is>
          <t>JUL</t>
        </is>
      </c>
      <c r="O71" s="13" t="inlineStr">
        <is>
          <t>AUG</t>
        </is>
      </c>
      <c r="P71" s="13" t="inlineStr">
        <is>
          <t>SEP</t>
        </is>
      </c>
      <c r="Q71" s="13" t="inlineStr">
        <is>
          <t>OCT</t>
        </is>
      </c>
      <c r="R71" s="13" t="inlineStr">
        <is>
          <t>NOV</t>
        </is>
      </c>
      <c r="S71" s="13" t="inlineStr">
        <is>
          <t>PRE PAID</t>
        </is>
      </c>
      <c r="T71" s="13" t="inlineStr">
        <is>
          <t>BALANCE</t>
        </is>
      </c>
    </row>
    <row r="72">
      <c r="A72" s="15" t="n"/>
      <c r="B72" s="44" t="n"/>
      <c r="C72" s="71" t="inlineStr">
        <is>
          <t>BAL CARRIED DOWN</t>
        </is>
      </c>
      <c r="D72" s="16">
        <f>D59</f>
        <v/>
      </c>
      <c r="E72" s="98">
        <f>E59</f>
        <v/>
      </c>
      <c r="F72" s="99" t="n"/>
      <c r="G72" s="97" t="n"/>
      <c r="H72" s="17">
        <f>H59</f>
        <v/>
      </c>
      <c r="I72" s="17">
        <f>I59</f>
        <v/>
      </c>
      <c r="J72" s="17">
        <f>J59</f>
        <v/>
      </c>
      <c r="K72" s="17">
        <f>K59</f>
        <v/>
      </c>
      <c r="L72" s="17">
        <f>L59</f>
        <v/>
      </c>
      <c r="M72" s="17">
        <f>M59</f>
        <v/>
      </c>
      <c r="N72" s="17">
        <f>N59</f>
        <v/>
      </c>
      <c r="O72" s="17">
        <f>O59</f>
        <v/>
      </c>
      <c r="P72" s="17">
        <f>P59</f>
        <v/>
      </c>
      <c r="Q72" s="17">
        <f>Q59</f>
        <v/>
      </c>
      <c r="R72" s="17" t="n"/>
      <c r="S72" s="17">
        <f>S59</f>
        <v/>
      </c>
      <c r="T72" s="1">
        <f>T59</f>
        <v/>
      </c>
    </row>
    <row r="73">
      <c r="A73" s="15" t="inlineStr">
        <is>
          <t>1</t>
        </is>
      </c>
      <c r="B73" s="44" t="inlineStr">
        <is>
          <t>1860</t>
        </is>
      </c>
      <c r="C73" s="44" t="inlineStr">
        <is>
          <t>DANIEL ONYANGO</t>
        </is>
      </c>
      <c r="D73" s="16" t="n"/>
      <c r="E73" s="98" t="n">
        <v>2200</v>
      </c>
      <c r="F73" s="99" t="n"/>
      <c r="G73" s="97" t="n"/>
      <c r="H73" s="17" t="n">
        <v>800</v>
      </c>
      <c r="I73" s="17" t="n"/>
      <c r="J73" s="17" t="n"/>
      <c r="K73" s="17" t="n"/>
      <c r="L73" s="17" t="n"/>
      <c r="M73" s="17" t="n">
        <v>700</v>
      </c>
      <c r="N73" s="17" t="n"/>
      <c r="O73" s="17" t="n"/>
      <c r="P73" s="17" t="n"/>
      <c r="Q73" s="17" t="n"/>
      <c r="R73" s="17" t="n"/>
      <c r="S73" s="17" t="n"/>
      <c r="T73" s="1" t="n"/>
    </row>
    <row r="74">
      <c r="A74" s="15" t="inlineStr">
        <is>
          <t>2</t>
        </is>
      </c>
      <c r="B74" s="92" t="inlineStr">
        <is>
          <t>1864</t>
        </is>
      </c>
      <c r="C74" s="92" t="inlineStr">
        <is>
          <t>CALEB MUGA</t>
        </is>
      </c>
      <c r="D74" s="16" t="n"/>
      <c r="E74" s="98" t="n">
        <v>2200</v>
      </c>
      <c r="F74" s="99" t="n"/>
      <c r="G74" s="97" t="n"/>
      <c r="H74" s="17" t="n">
        <v>800</v>
      </c>
      <c r="I74" s="17" t="n"/>
      <c r="J74" s="17" t="n"/>
      <c r="K74" s="17" t="n"/>
      <c r="L74" s="17" t="n"/>
      <c r="M74" s="17" t="n">
        <v>1600</v>
      </c>
      <c r="N74" s="17" t="n"/>
      <c r="O74" s="17" t="n"/>
      <c r="P74" s="17" t="n"/>
      <c r="Q74" s="17" t="n"/>
      <c r="R74" s="17" t="n"/>
      <c r="S74" s="17" t="n"/>
      <c r="T74" s="1">
        <f>D74+SUM(E74:G74)-SUM(H74:S74)</f>
        <v/>
      </c>
    </row>
    <row r="75">
      <c r="A75" s="15" t="inlineStr">
        <is>
          <t>3</t>
        </is>
      </c>
      <c r="B75" s="92" t="n">
        <v>1861</v>
      </c>
      <c r="C75" s="92" t="inlineStr">
        <is>
          <t>RONNIE OTIENO</t>
        </is>
      </c>
      <c r="D75" s="16" t="n"/>
      <c r="E75" s="96" t="n">
        <v>2200</v>
      </c>
      <c r="F75" s="97" t="n"/>
      <c r="G75" s="110" t="n"/>
      <c r="H75" s="17" t="n">
        <v>800</v>
      </c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">
        <f>D75+SUM(E75:G75)-SUM(H75:S75)</f>
        <v/>
      </c>
    </row>
    <row r="76">
      <c r="A76" s="15" t="inlineStr">
        <is>
          <t>4</t>
        </is>
      </c>
      <c r="B76" s="92" t="n">
        <v>1869</v>
      </c>
      <c r="C76" s="92" t="inlineStr">
        <is>
          <t>MACDAGASCOS ODONGO</t>
        </is>
      </c>
      <c r="D76" s="39" t="n"/>
      <c r="E76" s="96" t="n">
        <v>2200</v>
      </c>
      <c r="F76" s="97" t="n"/>
      <c r="G76" s="110" t="n"/>
      <c r="H76" s="42" t="n">
        <v>800</v>
      </c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3">
        <f>D76+SUM(E76:G76)-SUM(H76:S76)</f>
        <v/>
      </c>
    </row>
    <row r="77">
      <c r="A77" s="15" t="inlineStr">
        <is>
          <t>5</t>
        </is>
      </c>
      <c r="B77" s="92" t="n">
        <v>1870</v>
      </c>
      <c r="C77" s="92" t="inlineStr">
        <is>
          <t>EVANS OCHIENG</t>
        </is>
      </c>
      <c r="D77" s="39" t="n"/>
      <c r="E77" s="96" t="n">
        <v>2200</v>
      </c>
      <c r="F77" s="97" t="n"/>
      <c r="G77" s="110" t="n"/>
      <c r="H77" s="42" t="n">
        <v>800</v>
      </c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3">
        <f>D77+SUM(E77:G77)-SUM(H77:S77)</f>
        <v/>
      </c>
    </row>
    <row r="78">
      <c r="A78" s="15" t="inlineStr">
        <is>
          <t>6</t>
        </is>
      </c>
      <c r="B78" s="92" t="n">
        <v>1872</v>
      </c>
      <c r="C78" s="45" t="inlineStr">
        <is>
          <t>MOSES OTIENO</t>
        </is>
      </c>
      <c r="D78" s="39" t="n"/>
      <c r="E78" s="80" t="n">
        <v>2200</v>
      </c>
      <c r="F78" s="81" t="n">
        <v>500</v>
      </c>
      <c r="G78" s="110" t="n"/>
      <c r="H78" s="42" t="n">
        <v>500</v>
      </c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3">
        <f>D78+SUM(E78:G78)-SUM(H78:S78)</f>
        <v/>
      </c>
    </row>
    <row r="79">
      <c r="A79" s="15" t="inlineStr">
        <is>
          <t>7</t>
        </is>
      </c>
      <c r="B79" s="92" t="n">
        <v>1873</v>
      </c>
      <c r="C79" s="92" t="inlineStr">
        <is>
          <t>CHRIS SMALING</t>
        </is>
      </c>
      <c r="D79" s="39" t="n"/>
      <c r="E79" s="80" t="n">
        <v>2200</v>
      </c>
      <c r="F79" s="81" t="n">
        <v>800</v>
      </c>
      <c r="G79" s="110" t="n"/>
      <c r="H79" s="42" t="n">
        <v>800</v>
      </c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3">
        <f>D79+SUM(E79:G79)-SUM(H79:S79)</f>
        <v/>
      </c>
    </row>
    <row r="80">
      <c r="A80" s="15" t="inlineStr">
        <is>
          <t>8</t>
        </is>
      </c>
      <c r="B80" s="92" t="n">
        <v>1874</v>
      </c>
      <c r="C80" s="92" t="inlineStr">
        <is>
          <t>DAVID OCHIENG</t>
        </is>
      </c>
      <c r="D80" s="39" t="n"/>
      <c r="E80" s="82" t="n">
        <v>2200</v>
      </c>
      <c r="F80" s="83" t="n"/>
      <c r="G80" s="84" t="n"/>
      <c r="H80" s="42" t="n">
        <v>800</v>
      </c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3">
        <f>D80+SUM(E80:G80)-SUM(H80:S80)</f>
        <v/>
      </c>
    </row>
    <row r="81">
      <c r="A81" s="15" t="inlineStr">
        <is>
          <t>9</t>
        </is>
      </c>
      <c r="B81" s="92" t="n">
        <v>1876</v>
      </c>
      <c r="C81" s="45" t="inlineStr">
        <is>
          <t>MOSES OMONDI</t>
        </is>
      </c>
      <c r="D81" s="39" t="n"/>
      <c r="E81" s="96" t="n">
        <v>2200</v>
      </c>
      <c r="F81" s="97" t="n"/>
      <c r="G81" s="110" t="n"/>
      <c r="H81" s="42" t="n">
        <v>500</v>
      </c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3">
        <f>D81+SUM(E81:G81)-SUM(H81:S81)</f>
        <v/>
      </c>
    </row>
    <row r="82">
      <c r="A82" s="15" t="inlineStr">
        <is>
          <t>10</t>
        </is>
      </c>
      <c r="B82" s="92" t="inlineStr">
        <is>
          <t>1877</t>
        </is>
      </c>
      <c r="C82" s="92" t="inlineStr">
        <is>
          <t>VINCENT OTIENO</t>
        </is>
      </c>
      <c r="D82" s="39" t="n"/>
      <c r="E82" s="96" t="n">
        <v>2200</v>
      </c>
      <c r="F82" s="97" t="n"/>
      <c r="G82" s="110" t="n"/>
      <c r="H82" s="42" t="n">
        <v>800</v>
      </c>
      <c r="I82" s="42" t="n"/>
      <c r="J82" s="42" t="n"/>
      <c r="K82" s="42" t="n"/>
      <c r="L82" s="42" t="n"/>
      <c r="M82" s="42" t="n">
        <v>1200</v>
      </c>
      <c r="N82" s="42" t="n"/>
      <c r="O82" s="42" t="n"/>
      <c r="P82" s="42" t="n"/>
      <c r="Q82" s="42" t="n"/>
      <c r="R82" s="42" t="n"/>
      <c r="S82" s="42" t="n"/>
      <c r="T82" s="43">
        <f>D82+SUM(E82:G82)-SUM(H82:S82)</f>
        <v/>
      </c>
    </row>
    <row r="83">
      <c r="A83" s="15" t="inlineStr">
        <is>
          <t>11</t>
        </is>
      </c>
      <c r="B83" s="92" t="n">
        <v>1879</v>
      </c>
      <c r="C83" s="92" t="inlineStr">
        <is>
          <t>BENARD   JUMA</t>
        </is>
      </c>
      <c r="D83" s="39" t="n"/>
      <c r="E83" s="96" t="n">
        <v>2200</v>
      </c>
      <c r="F83" s="97" t="n"/>
      <c r="G83" s="110" t="n"/>
      <c r="H83" s="42" t="n">
        <v>0</v>
      </c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3">
        <f>D83+SUM(E83:G83)-SUM(H83:S83)</f>
        <v/>
      </c>
    </row>
    <row r="84">
      <c r="A84" s="15" t="inlineStr">
        <is>
          <t>12</t>
        </is>
      </c>
      <c r="B84" s="92" t="n">
        <v>1883</v>
      </c>
      <c r="C84" s="92" t="inlineStr">
        <is>
          <t>ADRIAN OCHIENG</t>
        </is>
      </c>
      <c r="D84" s="40" t="n"/>
      <c r="E84" s="96" t="n">
        <v>2200</v>
      </c>
      <c r="F84" s="97" t="n"/>
      <c r="G84" s="110" t="n"/>
      <c r="H84" s="42" t="n">
        <v>800</v>
      </c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3">
        <f>D84+SUM(E84:G84)-SUM(H84:S84)</f>
        <v/>
      </c>
    </row>
    <row r="85">
      <c r="A85" s="15" t="inlineStr">
        <is>
          <t>13</t>
        </is>
      </c>
      <c r="B85" s="92" t="inlineStr">
        <is>
          <t>1884</t>
        </is>
      </c>
      <c r="C85" s="92" t="inlineStr">
        <is>
          <t>BRIAN ODHIAMBO</t>
        </is>
      </c>
      <c r="D85" s="16" t="n"/>
      <c r="E85" s="98" t="n">
        <v>2200</v>
      </c>
      <c r="F85" s="99" t="n"/>
      <c r="G85" s="97" t="n"/>
      <c r="H85" s="17" t="n">
        <v>800</v>
      </c>
      <c r="I85" s="17" t="n"/>
      <c r="J85" s="17" t="n"/>
      <c r="K85" s="17" t="n"/>
      <c r="L85" s="17" t="n"/>
      <c r="M85" s="17" t="n">
        <v>1600</v>
      </c>
      <c r="N85" s="17" t="n"/>
      <c r="O85" s="17" t="n"/>
      <c r="P85" s="17" t="n"/>
      <c r="Q85" s="17" t="n"/>
      <c r="R85" s="17" t="n"/>
      <c r="S85" s="17" t="n"/>
      <c r="T85" s="1">
        <f>D85+SUM(E85:G85)-SUM(H85:S85)</f>
        <v/>
      </c>
    </row>
    <row r="86">
      <c r="A86" s="15" t="inlineStr">
        <is>
          <t>14</t>
        </is>
      </c>
      <c r="B86" s="92" t="n">
        <v>1885</v>
      </c>
      <c r="C86" s="92" t="inlineStr">
        <is>
          <t>VINCENT OMONDI</t>
        </is>
      </c>
      <c r="D86" s="16" t="n"/>
      <c r="E86" s="98" t="n">
        <v>2200</v>
      </c>
      <c r="F86" s="99" t="n"/>
      <c r="G86" s="97" t="n"/>
      <c r="H86" s="17" t="n">
        <v>300</v>
      </c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">
        <f>D86+SUM(E86:G86)-SUM(H86:S86)</f>
        <v/>
      </c>
    </row>
    <row r="87">
      <c r="A87" s="15" t="inlineStr">
        <is>
          <t>15</t>
        </is>
      </c>
      <c r="B87" s="92" t="inlineStr">
        <is>
          <t>1887</t>
        </is>
      </c>
      <c r="C87" s="92" t="inlineStr">
        <is>
          <t>MOHAMED AHMED</t>
        </is>
      </c>
      <c r="D87" s="16" t="n"/>
      <c r="E87" s="96" t="n">
        <v>2200</v>
      </c>
      <c r="F87" s="97" t="n"/>
      <c r="G87" s="110" t="n"/>
      <c r="H87" s="17" t="n"/>
      <c r="I87" s="17" t="n"/>
      <c r="J87" s="17" t="n"/>
      <c r="K87" s="17" t="n"/>
      <c r="L87" s="17" t="n"/>
      <c r="M87" s="17" t="n"/>
      <c r="N87" s="17" t="n">
        <v>800</v>
      </c>
      <c r="O87" s="17" t="n"/>
      <c r="P87" s="17" t="n"/>
      <c r="Q87" s="17" t="n"/>
      <c r="R87" s="17" t="n"/>
      <c r="S87" s="17" t="n"/>
      <c r="T87" s="10" t="n"/>
    </row>
    <row r="88">
      <c r="A88" s="15" t="inlineStr">
        <is>
          <t>16</t>
        </is>
      </c>
      <c r="B88" s="92" t="n">
        <v>1888</v>
      </c>
      <c r="C88" s="92" t="inlineStr">
        <is>
          <t>WASONGA CHARLSE</t>
        </is>
      </c>
      <c r="D88" s="16" t="n"/>
      <c r="E88" s="96" t="n">
        <v>2200</v>
      </c>
      <c r="F88" s="97" t="n"/>
      <c r="G88" s="110" t="n"/>
      <c r="H88" s="17" t="n">
        <v>800</v>
      </c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35">
        <f>D88+SUM(E88:G88)-SUM(H88:S88)</f>
        <v/>
      </c>
    </row>
    <row r="89">
      <c r="A89" s="15" t="inlineStr">
        <is>
          <t>17</t>
        </is>
      </c>
      <c r="B89" s="44" t="n">
        <v>1894</v>
      </c>
      <c r="C89" s="44" t="inlineStr">
        <is>
          <t>SHALTON OCHIENG</t>
        </is>
      </c>
      <c r="D89" s="16" t="n"/>
      <c r="E89" s="96" t="n">
        <v>2200</v>
      </c>
      <c r="F89" s="97" t="n"/>
      <c r="G89" s="110" t="n"/>
      <c r="H89" s="17" t="n">
        <v>800</v>
      </c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">
        <f>D89+SUM(E89:G89)-SUM(H89:S89)</f>
        <v/>
      </c>
    </row>
    <row r="90">
      <c r="A90" s="15" t="inlineStr">
        <is>
          <t>18</t>
        </is>
      </c>
      <c r="B90" s="92" t="n">
        <v>1897</v>
      </c>
      <c r="C90" s="92" t="inlineStr">
        <is>
          <t>BENJAMIN ETYANG</t>
        </is>
      </c>
      <c r="D90" s="16" t="n"/>
      <c r="E90" s="96" t="n">
        <v>2200</v>
      </c>
      <c r="F90" s="97" t="n"/>
      <c r="G90" s="110" t="n"/>
      <c r="H90" s="17" t="n">
        <v>800</v>
      </c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">
        <f>D90+SUM(E90:G90)-SUM(H90:S90)</f>
        <v/>
      </c>
    </row>
    <row r="91">
      <c r="A91" s="15" t="inlineStr">
        <is>
          <t>19</t>
        </is>
      </c>
      <c r="B91" s="92" t="n">
        <v>1900</v>
      </c>
      <c r="C91" s="92" t="inlineStr">
        <is>
          <t>BRIAN ODHIAMBO</t>
        </is>
      </c>
      <c r="D91" s="16" t="n"/>
      <c r="E91" s="96" t="n">
        <v>2200</v>
      </c>
      <c r="F91" s="97" t="n"/>
      <c r="G91" s="110" t="n"/>
      <c r="H91" s="17" t="n">
        <v>100</v>
      </c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">
        <f>D91+SUM(E91:G91)-SUM(H91:S91)</f>
        <v/>
      </c>
    </row>
    <row r="92">
      <c r="A92" s="15" t="inlineStr">
        <is>
          <t>20</t>
        </is>
      </c>
      <c r="B92" s="92" t="inlineStr">
        <is>
          <t>1901</t>
        </is>
      </c>
      <c r="C92" s="92" t="inlineStr">
        <is>
          <t>BRIAN ODHIAMBO</t>
        </is>
      </c>
      <c r="D92" s="19" t="n"/>
      <c r="E92" s="96" t="n">
        <v>2200</v>
      </c>
      <c r="F92" s="97" t="n"/>
      <c r="G92" s="110" t="n"/>
      <c r="H92" s="20" t="n">
        <v>800</v>
      </c>
      <c r="I92" s="20" t="n"/>
      <c r="J92" s="20" t="n"/>
      <c r="K92" s="20" t="n"/>
      <c r="L92" s="20" t="n"/>
      <c r="M92" s="20" t="n"/>
      <c r="N92" s="20" t="n">
        <v>1300</v>
      </c>
      <c r="O92" s="20" t="n"/>
      <c r="P92" s="20" t="n"/>
      <c r="Q92" s="20" t="n"/>
      <c r="R92" s="20" t="n"/>
      <c r="S92" s="20" t="n"/>
      <c r="T92" s="1">
        <f>D92+SUM(E92:G92)-SUM(H92:S92)</f>
        <v/>
      </c>
    </row>
    <row r="93">
      <c r="A93" s="15" t="inlineStr">
        <is>
          <t>21</t>
        </is>
      </c>
      <c r="B93" s="92" t="inlineStr">
        <is>
          <t>1902</t>
        </is>
      </c>
      <c r="C93" s="92" t="inlineStr">
        <is>
          <t>HEMEDY  OCHIENG</t>
        </is>
      </c>
      <c r="D93" s="16" t="n"/>
      <c r="E93" s="96" t="n">
        <v>2200</v>
      </c>
      <c r="F93" s="97" t="n"/>
      <c r="G93" s="110" t="n"/>
      <c r="H93" s="17" t="n">
        <v>1000</v>
      </c>
      <c r="I93" s="91" t="n"/>
      <c r="J93" s="17" t="n"/>
      <c r="K93" s="17" t="n"/>
      <c r="L93" s="17" t="n"/>
      <c r="M93" s="17" t="n">
        <v>800</v>
      </c>
      <c r="N93" s="17" t="n"/>
      <c r="O93" s="17" t="n"/>
      <c r="P93" s="17" t="n"/>
      <c r="Q93" s="17" t="n"/>
      <c r="R93" s="17" t="n"/>
      <c r="S93" s="17" t="n"/>
      <c r="T93" s="1">
        <f>D93+SUM(E93:F93)-SUM(H93:S93)</f>
        <v/>
      </c>
    </row>
    <row r="94">
      <c r="A94" s="15" t="inlineStr">
        <is>
          <t>22</t>
        </is>
      </c>
      <c r="B94" s="92" t="n">
        <v>1905</v>
      </c>
      <c r="C94" s="92" t="inlineStr">
        <is>
          <t>WALTER   OPIYO</t>
        </is>
      </c>
      <c r="D94" s="16" t="n"/>
      <c r="E94" s="96" t="n">
        <v>2200</v>
      </c>
      <c r="F94" s="97" t="n"/>
      <c r="G94" s="110" t="n"/>
      <c r="H94" s="17" t="n"/>
      <c r="I94" s="91" t="n"/>
      <c r="J94" s="17" t="n"/>
      <c r="K94" s="91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">
        <f>D94+SUM(E94:F94)-SUM(H94:S94)</f>
        <v/>
      </c>
    </row>
    <row r="95">
      <c r="A95" s="15" t="inlineStr">
        <is>
          <t>23</t>
        </is>
      </c>
      <c r="B95" s="92" t="n">
        <v>1906</v>
      </c>
      <c r="C95" s="92" t="inlineStr">
        <is>
          <t>OKOTH  FELEX</t>
        </is>
      </c>
      <c r="D95" s="16" t="n"/>
      <c r="E95" s="98" t="n">
        <v>2200</v>
      </c>
      <c r="F95" s="99" t="n"/>
      <c r="G95" s="97" t="n"/>
      <c r="H95" s="17" t="n">
        <v>800</v>
      </c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">
        <f>D95+SUM(E95:G95)-SUM(H95:S95)</f>
        <v/>
      </c>
    </row>
    <row r="96">
      <c r="A96" s="15" t="inlineStr">
        <is>
          <t>24</t>
        </is>
      </c>
      <c r="B96" s="92" t="n">
        <v>1910</v>
      </c>
      <c r="C96" s="54" t="inlineStr">
        <is>
          <t>ELVIS  OTIENO</t>
        </is>
      </c>
      <c r="D96" s="16" t="n"/>
      <c r="E96" s="96" t="n">
        <v>2200</v>
      </c>
      <c r="F96" s="97" t="n"/>
      <c r="G96" s="110" t="n"/>
      <c r="H96" s="17" t="n">
        <v>800</v>
      </c>
      <c r="I96" s="17" t="n"/>
      <c r="J96" s="17" t="n"/>
      <c r="K96" s="17" t="n"/>
      <c r="L96" s="37" t="n"/>
      <c r="M96" s="17" t="n"/>
      <c r="N96" s="17" t="n"/>
      <c r="O96" s="17" t="n"/>
      <c r="P96" s="17" t="n"/>
      <c r="Q96" s="17" t="n"/>
      <c r="R96" s="17" t="n"/>
      <c r="S96" s="17" t="n"/>
      <c r="T96" s="1">
        <f>D96+SUM(E96:G96)-SUM(H96:S96)</f>
        <v/>
      </c>
    </row>
    <row r="97">
      <c r="A97" s="15" t="inlineStr">
        <is>
          <t>25</t>
        </is>
      </c>
      <c r="B97" s="92" t="n">
        <v>1911</v>
      </c>
      <c r="C97" s="92" t="inlineStr">
        <is>
          <t>VINCENT  OUMA</t>
        </is>
      </c>
      <c r="D97" s="2" t="n"/>
      <c r="E97" s="96" t="n">
        <v>2200</v>
      </c>
      <c r="F97" s="97" t="n"/>
      <c r="G97" s="3" t="n"/>
      <c r="H97" s="4" t="n">
        <v>0</v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11">
        <f>D97+SUM(E97:G97)-SUM(H97:S97)</f>
        <v/>
      </c>
    </row>
    <row r="98">
      <c r="A98" s="15" t="inlineStr">
        <is>
          <t>26</t>
        </is>
      </c>
      <c r="B98" s="92" t="n">
        <v>1919</v>
      </c>
      <c r="C98" s="92" t="inlineStr">
        <is>
          <t>BARRACK  OYOO</t>
        </is>
      </c>
      <c r="D98" s="2" t="n"/>
      <c r="E98" s="96" t="n">
        <v>2200</v>
      </c>
      <c r="F98" s="97" t="n"/>
      <c r="G98" s="3" t="n"/>
      <c r="H98" s="4" t="n">
        <v>800</v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11">
        <f>D98+SUM(E98:G98)-SUM(H98:S98)</f>
        <v/>
      </c>
    </row>
    <row r="99">
      <c r="A99" s="15" t="inlineStr">
        <is>
          <t>27</t>
        </is>
      </c>
      <c r="B99" s="92" t="n">
        <v>1927</v>
      </c>
      <c r="C99" s="92" t="inlineStr">
        <is>
          <t>JOHN OMUOYO</t>
        </is>
      </c>
      <c r="D99" s="2" t="n"/>
      <c r="E99" s="96" t="n">
        <v>2200</v>
      </c>
      <c r="F99" s="97" t="n"/>
      <c r="G99" s="3" t="n"/>
      <c r="H99" s="4" t="n">
        <v>0</v>
      </c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">
        <f>D99+SUM(E99:G99)-SUM(H99:S99)</f>
        <v/>
      </c>
    </row>
    <row r="100">
      <c r="A100" s="15" t="inlineStr">
        <is>
          <t>28</t>
        </is>
      </c>
      <c r="B100" s="92" t="n">
        <v>1928</v>
      </c>
      <c r="C100" s="92" t="inlineStr">
        <is>
          <t>STEVE RONY</t>
        </is>
      </c>
      <c r="D100" s="2" t="n"/>
      <c r="E100" s="66" t="n">
        <v>2200</v>
      </c>
      <c r="F100" s="67" t="n">
        <v>600</v>
      </c>
      <c r="G100" s="3" t="n"/>
      <c r="H100" s="4" t="n">
        <v>600</v>
      </c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68">
        <f>D100+SUM(E100:G100)-SUM(H100:S100)</f>
        <v/>
      </c>
    </row>
    <row r="101" ht="15.75" customHeight="1" s="101" thickBot="1">
      <c r="A101" s="15" t="n"/>
      <c r="B101" s="5" t="n"/>
      <c r="C101" s="6" t="inlineStr">
        <is>
          <t>TOTAL</t>
        </is>
      </c>
      <c r="D101" s="7">
        <f>SUM(D72:D99)</f>
        <v/>
      </c>
      <c r="E101" s="8">
        <f>SUM(E72:E99)</f>
        <v/>
      </c>
      <c r="F101" s="8">
        <f>SUM(F72:F92)</f>
        <v/>
      </c>
      <c r="G101" s="8">
        <f>SUM(G72:G92)</f>
        <v/>
      </c>
      <c r="H101" s="8">
        <f>SUM(H72:H100)</f>
        <v/>
      </c>
      <c r="I101" s="8">
        <f>SUM(I72:I99)</f>
        <v/>
      </c>
      <c r="J101" s="8">
        <f>SUM(J72:J99)</f>
        <v/>
      </c>
      <c r="K101" s="8">
        <f>SUM(K72:K99)</f>
        <v/>
      </c>
      <c r="L101" s="8">
        <f>SUM(L72:L99)</f>
        <v/>
      </c>
      <c r="M101" s="8">
        <f>SUM(M72:M99)</f>
        <v/>
      </c>
      <c r="N101" s="8">
        <f>SUM(N72:N99)</f>
        <v/>
      </c>
      <c r="O101" s="8">
        <f>SUM(O72:O99)</f>
        <v/>
      </c>
      <c r="P101" s="8">
        <f>SUM(P72:P99)</f>
        <v/>
      </c>
      <c r="Q101" s="8">
        <f>SUM(Q72:Q99)</f>
        <v/>
      </c>
      <c r="R101" s="8" t="n"/>
      <c r="S101" s="8">
        <f>SUM(S72:S99)</f>
        <v/>
      </c>
      <c r="T101" s="9">
        <f>SUM(T72:T100)</f>
        <v/>
      </c>
    </row>
    <row r="102">
      <c r="A102" s="85" t="n"/>
      <c r="B102" s="86" t="n"/>
      <c r="C102" s="87" t="n"/>
      <c r="D102" s="30" t="n"/>
      <c r="E102" s="31" t="n"/>
      <c r="F102" s="31" t="n"/>
      <c r="G102" s="31" t="n"/>
      <c r="H102" s="31" t="n"/>
      <c r="I102" s="31" t="n"/>
      <c r="J102" s="31" t="n"/>
      <c r="K102" s="31" t="n"/>
      <c r="L102" s="31" t="n"/>
      <c r="M102" s="31" t="n"/>
      <c r="N102" s="31" t="n"/>
      <c r="O102" s="31" t="n"/>
      <c r="P102" s="31" t="n"/>
      <c r="Q102" s="31" t="n"/>
      <c r="R102" s="31" t="n"/>
      <c r="S102" s="31" t="n"/>
      <c r="T102" s="32" t="n"/>
    </row>
    <row r="103">
      <c r="A103" s="85" t="n"/>
      <c r="B103" s="86" t="n"/>
      <c r="C103" s="87" t="inlineStr">
        <is>
          <t>TOTAL COLLECTION G10 Boys</t>
        </is>
      </c>
      <c r="D103" s="30" t="n"/>
      <c r="E103" s="31">
        <f>K103-H59</f>
        <v/>
      </c>
      <c r="F103" s="31" t="n"/>
      <c r="G103" s="31" t="n"/>
      <c r="H103" s="31" t="n"/>
      <c r="I103" s="31" t="n"/>
      <c r="J103" s="31" t="n">
        <v>16900</v>
      </c>
      <c r="K103" s="31" t="n">
        <v>31000</v>
      </c>
      <c r="L103" s="31" t="n"/>
      <c r="M103" s="31" t="n"/>
      <c r="N103" s="31" t="n"/>
      <c r="O103" s="31" t="n"/>
      <c r="P103" s="31" t="n"/>
      <c r="Q103" s="31" t="n"/>
      <c r="R103" s="31" t="n"/>
      <c r="S103" s="31" t="n"/>
      <c r="T103" s="32" t="n"/>
    </row>
    <row r="104" ht="18" customHeight="1" s="101">
      <c r="A104" s="100" t="inlineStr">
        <is>
          <t>2</t>
        </is>
      </c>
    </row>
    <row r="105">
      <c r="A105" s="108" t="inlineStr">
        <is>
          <t xml:space="preserve"> FEE REGISTER(LUNCH)2026 GRADE 10</t>
        </is>
      </c>
      <c r="E105" s="14" t="n"/>
      <c r="H105" s="14" t="inlineStr">
        <is>
          <t>1ST TERM</t>
        </is>
      </c>
      <c r="M105" s="14" t="inlineStr">
        <is>
          <t>2ND TERM</t>
        </is>
      </c>
      <c r="N105" s="14" t="n"/>
      <c r="P105" s="14" t="inlineStr">
        <is>
          <t>3RD TERM</t>
        </is>
      </c>
    </row>
    <row r="106">
      <c r="A106" s="36" t="inlineStr">
        <is>
          <t>NO.</t>
        </is>
      </c>
      <c r="B106" s="85" t="inlineStr">
        <is>
          <t>ADM</t>
        </is>
      </c>
      <c r="C106" t="inlineStr">
        <is>
          <t>NAME</t>
        </is>
      </c>
      <c r="E106" s="103" t="inlineStr">
        <is>
          <t>DEBT</t>
        </is>
      </c>
      <c r="H106" s="104" t="inlineStr">
        <is>
          <t>REPAYMENT</t>
        </is>
      </c>
    </row>
    <row r="107">
      <c r="A107" s="12" t="n"/>
      <c r="B107" s="12" t="n"/>
      <c r="C107" s="13" t="n"/>
      <c r="D107" s="13" t="inlineStr">
        <is>
          <t>ARREAS</t>
        </is>
      </c>
      <c r="E107" s="105" t="n">
        <v>2026</v>
      </c>
      <c r="F107" s="106" t="n"/>
      <c r="G107" s="106" t="n"/>
      <c r="H107" s="13" t="inlineStr">
        <is>
          <t>JAN</t>
        </is>
      </c>
      <c r="I107" s="13" t="inlineStr">
        <is>
          <t>FEB</t>
        </is>
      </c>
      <c r="J107" s="13" t="inlineStr">
        <is>
          <t>MAR</t>
        </is>
      </c>
      <c r="K107" s="13" t="inlineStr">
        <is>
          <t>APR</t>
        </is>
      </c>
      <c r="L107" s="13" t="inlineStr">
        <is>
          <t>MAY</t>
        </is>
      </c>
      <c r="M107" s="13" t="inlineStr">
        <is>
          <t>JUN</t>
        </is>
      </c>
      <c r="N107" s="13" t="inlineStr">
        <is>
          <t>JUL</t>
        </is>
      </c>
      <c r="O107" s="13" t="inlineStr">
        <is>
          <t>AUG</t>
        </is>
      </c>
      <c r="P107" s="13" t="inlineStr">
        <is>
          <t>SEP</t>
        </is>
      </c>
      <c r="Q107" s="13" t="inlineStr">
        <is>
          <t>OCT</t>
        </is>
      </c>
      <c r="R107" s="13" t="inlineStr">
        <is>
          <t>NOV</t>
        </is>
      </c>
      <c r="S107" s="13" t="inlineStr">
        <is>
          <t>PRE PAID</t>
        </is>
      </c>
      <c r="T107" s="13" t="inlineStr">
        <is>
          <t>BALANCE</t>
        </is>
      </c>
    </row>
    <row r="108">
      <c r="A108" s="15" t="n"/>
      <c r="B108" s="92" t="n"/>
      <c r="C108" s="24" t="n"/>
      <c r="D108" s="28">
        <f>D101</f>
        <v/>
      </c>
      <c r="E108" s="102">
        <f>E101</f>
        <v/>
      </c>
      <c r="F108" s="99" t="n"/>
      <c r="G108" s="97" t="n"/>
      <c r="H108" s="26">
        <f>H101</f>
        <v/>
      </c>
      <c r="I108" s="26">
        <f>I101</f>
        <v/>
      </c>
      <c r="J108" s="26">
        <f>J101</f>
        <v/>
      </c>
      <c r="K108" s="26">
        <f>K101</f>
        <v/>
      </c>
      <c r="L108" s="26">
        <f>L101</f>
        <v/>
      </c>
      <c r="M108" s="26">
        <f>M101</f>
        <v/>
      </c>
      <c r="N108" s="26">
        <f>N101</f>
        <v/>
      </c>
      <c r="O108" s="26">
        <f>O101</f>
        <v/>
      </c>
      <c r="P108" s="26">
        <f>P101</f>
        <v/>
      </c>
      <c r="Q108" s="26">
        <f>Q101</f>
        <v/>
      </c>
      <c r="R108" s="26" t="n"/>
      <c r="S108" s="26">
        <f>S101</f>
        <v/>
      </c>
      <c r="T108" s="29">
        <f>T101</f>
        <v/>
      </c>
    </row>
    <row r="109">
      <c r="A109" s="15" t="inlineStr">
        <is>
          <t>29</t>
        </is>
      </c>
      <c r="B109" s="92" t="n"/>
      <c r="C109" s="92" t="n"/>
      <c r="D109" s="16" t="n"/>
      <c r="E109" s="98" t="n"/>
      <c r="F109" s="99" t="n"/>
      <c r="G109" s="9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">
        <f>D109+SUM(E109:G109)-SUM(H109:S109)</f>
        <v/>
      </c>
    </row>
    <row r="110">
      <c r="A110" s="15" t="inlineStr">
        <is>
          <t>30</t>
        </is>
      </c>
      <c r="B110" s="92" t="n"/>
      <c r="C110" s="54" t="n"/>
      <c r="D110" s="16" t="n"/>
      <c r="E110" s="96" t="n"/>
      <c r="F110" s="97" t="n"/>
      <c r="G110" s="110" t="n"/>
      <c r="H110" s="37" t="n"/>
      <c r="I110" s="37" t="n"/>
      <c r="J110" s="3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">
        <f>D110+SUM(E110:G110)-SUM(H110:S110)</f>
        <v/>
      </c>
    </row>
    <row r="111">
      <c r="A111" s="15" t="inlineStr">
        <is>
          <t>31</t>
        </is>
      </c>
      <c r="B111" s="92" t="n"/>
      <c r="C111" s="92" t="n"/>
      <c r="D111" s="16" t="n"/>
      <c r="E111" s="96" t="n"/>
      <c r="F111" s="97" t="n"/>
      <c r="G111" s="110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">
        <f>D111+SUM(E111:G111)-SUM(H111:S111)</f>
        <v/>
      </c>
    </row>
    <row r="112">
      <c r="A112" s="15" t="inlineStr">
        <is>
          <t>32</t>
        </is>
      </c>
      <c r="B112" s="92" t="n"/>
      <c r="C112" s="92" t="n"/>
      <c r="D112" s="16" t="n"/>
      <c r="E112" s="96" t="n"/>
      <c r="F112" s="97" t="n"/>
      <c r="G112" s="110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">
        <f>D112+SUM(E112:G112)-SUM(H112:S112)</f>
        <v/>
      </c>
    </row>
    <row r="113">
      <c r="A113" s="15" t="inlineStr">
        <is>
          <t>33</t>
        </is>
      </c>
      <c r="B113" s="92" t="n"/>
      <c r="C113" s="92" t="n"/>
      <c r="D113" s="39" t="n"/>
      <c r="E113" s="96" t="n"/>
      <c r="F113" s="97" t="n"/>
      <c r="G113" s="110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3">
        <f>D113+SUM(E113:G113)-SUM(H113:S113)</f>
        <v/>
      </c>
    </row>
    <row r="114">
      <c r="A114" s="15" t="inlineStr">
        <is>
          <t>34</t>
        </is>
      </c>
      <c r="B114" s="92" t="n"/>
      <c r="C114" s="92" t="n"/>
      <c r="D114" s="39" t="n"/>
      <c r="E114" s="96" t="n"/>
      <c r="F114" s="97" t="n"/>
      <c r="G114" s="110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3">
        <f>D114+SUM(E114:G114)-SUM(H114:S114)</f>
        <v/>
      </c>
    </row>
    <row r="115">
      <c r="A115" s="15" t="inlineStr">
        <is>
          <t>35</t>
        </is>
      </c>
      <c r="B115" s="92" t="n"/>
      <c r="C115" s="92" t="n"/>
      <c r="D115" s="39" t="n"/>
      <c r="E115" s="96" t="n"/>
      <c r="F115" s="97" t="n"/>
      <c r="G115" s="110" t="n"/>
      <c r="H115" s="51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3">
        <f>D115+SUM(E115:G115)-SUM(H115:S115)</f>
        <v/>
      </c>
    </row>
    <row r="116">
      <c r="A116" s="15" t="inlineStr">
        <is>
          <t>36</t>
        </is>
      </c>
      <c r="B116" s="92" t="n"/>
      <c r="C116" s="92" t="n"/>
      <c r="D116" s="39" t="n"/>
      <c r="E116" s="98" t="n"/>
      <c r="F116" s="99" t="n"/>
      <c r="G116" s="97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3">
        <f>D116+SUM(E116:G116)-SUM(H116:S116)</f>
        <v/>
      </c>
    </row>
    <row r="117">
      <c r="A117" s="15" t="inlineStr">
        <is>
          <t>37</t>
        </is>
      </c>
      <c r="B117" s="92" t="n"/>
      <c r="C117" s="92" t="n"/>
      <c r="D117" s="39" t="n"/>
      <c r="E117" s="98" t="n"/>
      <c r="F117" s="99" t="n"/>
      <c r="G117" s="97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3">
        <f>D117+SUM(E117:G117)-SUM(H117:S117)</f>
        <v/>
      </c>
    </row>
    <row r="118">
      <c r="A118" s="15" t="inlineStr">
        <is>
          <t>38</t>
        </is>
      </c>
      <c r="B118" s="92" t="n"/>
      <c r="C118" s="54" t="n"/>
      <c r="D118" s="39" t="n"/>
      <c r="E118" s="98" t="n"/>
      <c r="F118" s="99" t="n"/>
      <c r="G118" s="97" t="n"/>
      <c r="H118" s="42" t="n"/>
      <c r="I118" s="51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3">
        <f>D118+SUM(E118:G118)-SUM(H118:S118)</f>
        <v/>
      </c>
    </row>
    <row r="119">
      <c r="A119" s="15" t="inlineStr">
        <is>
          <t>39</t>
        </is>
      </c>
      <c r="B119" s="92" t="n"/>
      <c r="C119" s="92" t="n"/>
      <c r="D119" s="39" t="n"/>
      <c r="E119" s="96" t="n"/>
      <c r="F119" s="97" t="n"/>
      <c r="G119" s="110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3">
        <f>D119+SUM(E119:G119)-SUM(H119:S119)</f>
        <v/>
      </c>
    </row>
    <row r="120">
      <c r="A120" s="15" t="inlineStr">
        <is>
          <t>40</t>
        </is>
      </c>
      <c r="B120" s="92" t="n"/>
      <c r="C120" s="92" t="n"/>
      <c r="D120" s="39" t="n"/>
      <c r="E120" s="96" t="n"/>
      <c r="F120" s="97" t="n"/>
      <c r="G120" s="110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3">
        <f>D120+SUM(E120:G120)-SUM(H120:S120)</f>
        <v/>
      </c>
    </row>
    <row r="121">
      <c r="A121" s="15" t="inlineStr">
        <is>
          <t>42</t>
        </is>
      </c>
      <c r="B121" s="92" t="n"/>
      <c r="C121" s="92" t="n"/>
      <c r="D121" s="39" t="n"/>
      <c r="E121" s="96" t="n"/>
      <c r="F121" s="97" t="n"/>
      <c r="G121" s="110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3">
        <f>D121+SUM(E121:G121)-SUM(H121:S121)</f>
        <v/>
      </c>
    </row>
    <row r="122">
      <c r="A122" s="15" t="inlineStr">
        <is>
          <t>43</t>
        </is>
      </c>
      <c r="B122" s="38" t="n"/>
      <c r="C122" s="38" t="n"/>
      <c r="D122" s="40" t="n"/>
      <c r="E122" s="96" t="n"/>
      <c r="F122" s="97" t="n"/>
      <c r="G122" s="110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3">
        <f>D122+SUM(E122:G122)-SUM(H122:S122)</f>
        <v/>
      </c>
    </row>
    <row r="123">
      <c r="A123" s="15" t="inlineStr">
        <is>
          <t>45</t>
        </is>
      </c>
      <c r="B123" s="92" t="n"/>
      <c r="C123" s="92" t="n"/>
      <c r="D123" s="16" t="n"/>
      <c r="E123" s="98" t="n"/>
      <c r="F123" s="99" t="n"/>
      <c r="G123" s="9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">
        <f>D123+SUM(E123:G123)-SUM(H123:S123)</f>
        <v/>
      </c>
    </row>
    <row r="124">
      <c r="A124" s="15" t="inlineStr">
        <is>
          <t>46</t>
        </is>
      </c>
      <c r="B124" s="92" t="n"/>
      <c r="C124" s="92" t="n"/>
      <c r="D124" s="16" t="n"/>
      <c r="E124" s="98" t="n"/>
      <c r="F124" s="99" t="n"/>
      <c r="G124" s="9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">
        <f>D124+SUM(E124:G124)-SUM(H124:S124)</f>
        <v/>
      </c>
    </row>
    <row r="125">
      <c r="A125" s="15" t="inlineStr">
        <is>
          <t>47</t>
        </is>
      </c>
      <c r="B125" s="92" t="n"/>
      <c r="C125" s="92" t="n"/>
      <c r="D125" s="16" t="n"/>
      <c r="E125" s="98" t="n"/>
      <c r="F125" s="99" t="n"/>
      <c r="G125" s="9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0">
        <f>D125+SUM(E125:G125)-SUM(H125:S125)</f>
        <v/>
      </c>
    </row>
    <row r="126">
      <c r="A126" s="15" t="inlineStr">
        <is>
          <t>48</t>
        </is>
      </c>
      <c r="B126" s="92" t="n"/>
      <c r="C126" s="92" t="n"/>
      <c r="D126" s="16" t="n"/>
      <c r="E126" s="96" t="n"/>
      <c r="F126" s="97" t="n"/>
      <c r="G126" s="110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35">
        <f>D126+SUM(E126:G126)-SUM(H126:S126)</f>
        <v/>
      </c>
    </row>
    <row r="127">
      <c r="A127" s="15" t="inlineStr">
        <is>
          <t>50</t>
        </is>
      </c>
      <c r="B127" s="92" t="n"/>
      <c r="C127" s="92" t="n"/>
      <c r="D127" s="16" t="n"/>
      <c r="E127" s="96" t="n"/>
      <c r="F127" s="97" t="n"/>
      <c r="G127" s="110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">
        <f>D127+SUM(E127:G127)-SUM(H127:S127)</f>
        <v/>
      </c>
    </row>
    <row r="128">
      <c r="A128" s="15" t="inlineStr">
        <is>
          <t>51</t>
        </is>
      </c>
      <c r="B128" s="92" t="n"/>
      <c r="C128" s="92" t="n"/>
      <c r="D128" s="16" t="n"/>
      <c r="E128" s="96" t="n"/>
      <c r="F128" s="97" t="n"/>
      <c r="G128" s="110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">
        <f>D128+SUM(E128:G128)-SUM(H128:S128)</f>
        <v/>
      </c>
    </row>
    <row r="129">
      <c r="A129" s="60" t="inlineStr">
        <is>
          <t>54</t>
        </is>
      </c>
      <c r="B129" s="45" t="n"/>
      <c r="C129" s="45" t="n"/>
      <c r="D129" s="61" t="n"/>
      <c r="E129" s="107" t="n"/>
      <c r="F129" s="99" t="n"/>
      <c r="G129" s="97" t="n"/>
      <c r="H129" s="57" t="n"/>
      <c r="I129" s="57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62">
        <f>D129+SUM(E129:G129)-SUM(H129:S129)</f>
        <v/>
      </c>
      <c r="U129" s="59" t="n"/>
    </row>
    <row r="130">
      <c r="A130" s="15" t="inlineStr">
        <is>
          <t>55</t>
        </is>
      </c>
      <c r="B130" s="92" t="n"/>
      <c r="C130" s="45" t="n"/>
      <c r="D130" s="16" t="n"/>
      <c r="E130" s="96" t="n"/>
      <c r="F130" s="97" t="n"/>
      <c r="G130" s="110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">
        <f>D130+SUM(E130:G130)-SUM(H130:S130)</f>
        <v/>
      </c>
    </row>
    <row r="131">
      <c r="A131" s="15" t="inlineStr">
        <is>
          <t>56</t>
        </is>
      </c>
      <c r="B131" s="92" t="n"/>
      <c r="C131" s="45" t="n"/>
      <c r="D131" s="16" t="n"/>
      <c r="E131" s="96" t="n"/>
      <c r="F131" s="97" t="n"/>
      <c r="G131" s="110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">
        <f>D131+SUM(E131:G131)-SUM(H131:S131)</f>
        <v/>
      </c>
    </row>
    <row r="132">
      <c r="A132" s="15" t="inlineStr">
        <is>
          <t>57</t>
        </is>
      </c>
      <c r="B132" s="92" t="n"/>
      <c r="C132" s="45" t="n"/>
      <c r="D132" s="2" t="n"/>
      <c r="E132" s="96" t="n"/>
      <c r="F132" s="97" t="n"/>
      <c r="G132" s="3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11">
        <f>D132+SUM(E132:G132)-SUM(H132:S132)</f>
        <v/>
      </c>
    </row>
    <row r="133">
      <c r="A133" s="15" t="inlineStr">
        <is>
          <t>58</t>
        </is>
      </c>
      <c r="B133" s="92" t="n"/>
      <c r="C133" s="45" t="n"/>
      <c r="D133" s="2" t="n"/>
      <c r="E133" s="96" t="n"/>
      <c r="F133" s="97" t="n"/>
      <c r="G133" s="3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11">
        <f>D133+SUM(E133:G133)-SUM(H133:S133)</f>
        <v/>
      </c>
    </row>
    <row r="134">
      <c r="A134" s="15" t="inlineStr">
        <is>
          <t>59</t>
        </is>
      </c>
      <c r="B134" s="92" t="n"/>
      <c r="C134" s="45" t="n"/>
      <c r="D134" s="2" t="n"/>
      <c r="E134" s="96" t="n"/>
      <c r="F134" s="97" t="n"/>
      <c r="G134" s="3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11">
        <f>D134+SUM(E134:G134)-SUM(H134:S134)</f>
        <v/>
      </c>
    </row>
    <row r="135">
      <c r="A135" s="15" t="inlineStr">
        <is>
          <t>60</t>
        </is>
      </c>
      <c r="B135" s="92" t="n"/>
      <c r="C135" s="45" t="n"/>
      <c r="D135" s="2" t="n"/>
      <c r="E135" s="96" t="n"/>
      <c r="F135" s="97" t="n"/>
      <c r="G135" s="3" t="n"/>
      <c r="H135" s="4" t="n"/>
      <c r="I135" s="4" t="n"/>
      <c r="J135" s="4" t="n"/>
      <c r="K135" s="58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11">
        <f>D135+SUM(E135:G135)-SUM(H135:S135)</f>
        <v/>
      </c>
    </row>
    <row r="136">
      <c r="A136" s="15" t="inlineStr">
        <is>
          <t>61</t>
        </is>
      </c>
      <c r="B136" s="92" t="n"/>
      <c r="C136" s="45" t="n"/>
      <c r="D136" s="2" t="n"/>
      <c r="E136" s="96" t="n"/>
      <c r="F136" s="97" t="n"/>
      <c r="G136" s="3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11">
        <f>D136+SUM(E136:G136)-SUM(H136:S136)</f>
        <v/>
      </c>
    </row>
    <row r="137">
      <c r="A137" s="15" t="inlineStr">
        <is>
          <t>62</t>
        </is>
      </c>
      <c r="B137" s="92" t="n"/>
      <c r="C137" s="45" t="n"/>
      <c r="D137" s="2" t="n"/>
      <c r="E137" s="96" t="n"/>
      <c r="F137" s="97" t="n"/>
      <c r="G137" s="3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11">
        <f>D137+SUM(E137:G137)-SUM(H137:S137)</f>
        <v/>
      </c>
    </row>
    <row r="138">
      <c r="A138" s="15" t="n"/>
      <c r="B138" s="92" t="n"/>
      <c r="C138" s="45" t="n"/>
      <c r="D138" s="2" t="n"/>
      <c r="E138" s="96" t="n"/>
      <c r="F138" s="97" t="n"/>
      <c r="G138" s="3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11">
        <f>D138+SUM(E138:G138)-SUM(H138:S138)</f>
        <v/>
      </c>
    </row>
    <row r="139">
      <c r="A139" s="15" t="n"/>
      <c r="B139" s="92" t="n"/>
      <c r="C139" s="45" t="n"/>
      <c r="D139" s="2" t="n"/>
      <c r="E139" s="96" t="n"/>
      <c r="F139" s="97" t="n"/>
      <c r="G139" s="3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11">
        <f>D139+SUM(E139:G139)-SUM(H139:S139)</f>
        <v/>
      </c>
    </row>
    <row r="140">
      <c r="A140" s="15" t="inlineStr">
        <is>
          <t>63</t>
        </is>
      </c>
      <c r="B140" s="92" t="n"/>
      <c r="C140" s="45" t="n"/>
      <c r="D140" s="2" t="n"/>
      <c r="E140" s="96" t="n"/>
      <c r="F140" s="97" t="n"/>
      <c r="G140" s="3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11">
        <f>D140+SUM(E140:G140)-SUM(H140:S140)</f>
        <v/>
      </c>
    </row>
    <row r="141" ht="15.75" customHeight="1" s="101" thickBot="1">
      <c r="A141" s="5" t="n"/>
      <c r="B141" s="5" t="n"/>
      <c r="C141" s="6" t="inlineStr">
        <is>
          <t>TOTAL</t>
        </is>
      </c>
      <c r="D141" s="7">
        <f>SUM(D108:D132)</f>
        <v/>
      </c>
      <c r="E141" s="8">
        <f>SUM(E108:E132)</f>
        <v/>
      </c>
      <c r="F141" s="8">
        <f>SUM(F108:F128)</f>
        <v/>
      </c>
      <c r="G141" s="8">
        <f>SUM(G108:G128)</f>
        <v/>
      </c>
      <c r="H141" s="8">
        <f>SUM(H108:H132)</f>
        <v/>
      </c>
      <c r="I141" s="8">
        <f>SUM(I108:I132)</f>
        <v/>
      </c>
      <c r="J141" s="8">
        <f>SUM(J108:J132)</f>
        <v/>
      </c>
      <c r="K141" s="8">
        <f>SUM(K109:K132)</f>
        <v/>
      </c>
      <c r="L141" s="8">
        <f>SUM(L108:L132)</f>
        <v/>
      </c>
      <c r="M141" s="8">
        <f>SUM(M108:M132)</f>
        <v/>
      </c>
      <c r="N141" s="8">
        <f>SUM(N108:N132)</f>
        <v/>
      </c>
      <c r="O141" s="8">
        <f>SUM(O108:O132)</f>
        <v/>
      </c>
      <c r="P141" s="8">
        <f>SUM(P108:P132)</f>
        <v/>
      </c>
      <c r="Q141" s="8">
        <f>SUM(Q108:Q132)</f>
        <v/>
      </c>
      <c r="R141" s="8" t="n"/>
      <c r="S141" s="8">
        <f>SUM(S108:S132)</f>
        <v/>
      </c>
      <c r="T141" s="9">
        <f>SUM(T108:T132)</f>
        <v/>
      </c>
    </row>
    <row r="142">
      <c r="A142" t="n">
        <v>137</v>
      </c>
      <c r="B142" t="inlineStr">
        <is>
          <t>1925</t>
        </is>
      </c>
      <c r="C142" t="inlineStr">
        <is>
          <t>Hillary Amwayi</t>
        </is>
      </c>
      <c r="D142" t="n">
        <v>0</v>
      </c>
      <c r="E142" t="n">
        <v>2200</v>
      </c>
    </row>
  </sheetData>
  <mergeCells count="123">
    <mergeCell ref="E139:F139"/>
    <mergeCell ref="E13:G13"/>
    <mergeCell ref="E118:G118"/>
    <mergeCell ref="E31:G31"/>
    <mergeCell ref="E111:F111"/>
    <mergeCell ref="E40:G40"/>
    <mergeCell ref="E108:G108"/>
    <mergeCell ref="A68:G68"/>
    <mergeCell ref="E8:F8"/>
    <mergeCell ref="E95:G95"/>
    <mergeCell ref="E131:F131"/>
    <mergeCell ref="E51:F51"/>
    <mergeCell ref="E87:F87"/>
    <mergeCell ref="E128:F128"/>
    <mergeCell ref="E137:F137"/>
    <mergeCell ref="E124:G124"/>
    <mergeCell ref="E7:G7"/>
    <mergeCell ref="E99:F99"/>
    <mergeCell ref="E49:F49"/>
    <mergeCell ref="E27:F27"/>
    <mergeCell ref="E119:F119"/>
    <mergeCell ref="E106:G106"/>
    <mergeCell ref="H106:S106"/>
    <mergeCell ref="E113:F113"/>
    <mergeCell ref="E91:F91"/>
    <mergeCell ref="H38:S38"/>
    <mergeCell ref="E136:F136"/>
    <mergeCell ref="E123:G123"/>
    <mergeCell ref="E75:F75"/>
    <mergeCell ref="E53:F53"/>
    <mergeCell ref="E115:F115"/>
    <mergeCell ref="E93:F93"/>
    <mergeCell ref="E44:G44"/>
    <mergeCell ref="E107:G107"/>
    <mergeCell ref="E12:F12"/>
    <mergeCell ref="E55:F55"/>
    <mergeCell ref="E122:F122"/>
    <mergeCell ref="E127:F127"/>
    <mergeCell ref="E30:G30"/>
    <mergeCell ref="E6:G6"/>
    <mergeCell ref="E86:G86"/>
    <mergeCell ref="E70:G70"/>
    <mergeCell ref="A36:G36"/>
    <mergeCell ref="E125:G125"/>
    <mergeCell ref="E72:G72"/>
    <mergeCell ref="E41:G41"/>
    <mergeCell ref="E38:G38"/>
    <mergeCell ref="E90:F90"/>
    <mergeCell ref="E109:G109"/>
    <mergeCell ref="E56:G56"/>
    <mergeCell ref="E26:F26"/>
    <mergeCell ref="E110:F110"/>
    <mergeCell ref="E71:G71"/>
    <mergeCell ref="E129:G129"/>
    <mergeCell ref="E24:G24"/>
    <mergeCell ref="E120:F120"/>
    <mergeCell ref="E16:F16"/>
    <mergeCell ref="A105:D105"/>
    <mergeCell ref="E76:F76"/>
    <mergeCell ref="E73:G73"/>
    <mergeCell ref="H4:S4"/>
    <mergeCell ref="A104:G104"/>
    <mergeCell ref="E18:F18"/>
    <mergeCell ref="E58:F58"/>
    <mergeCell ref="E50:F50"/>
    <mergeCell ref="E121:F121"/>
    <mergeCell ref="E130:F130"/>
    <mergeCell ref="E74:G74"/>
    <mergeCell ref="E52:F52"/>
    <mergeCell ref="E83:F83"/>
    <mergeCell ref="E135:F135"/>
    <mergeCell ref="E92:F92"/>
    <mergeCell ref="H70:S70"/>
    <mergeCell ref="E132:F132"/>
    <mergeCell ref="E20:F20"/>
    <mergeCell ref="E29:F29"/>
    <mergeCell ref="E116:G116"/>
    <mergeCell ref="E94:F94"/>
    <mergeCell ref="E84:F84"/>
    <mergeCell ref="E114:F114"/>
    <mergeCell ref="E22:G22"/>
    <mergeCell ref="E77:F77"/>
    <mergeCell ref="E15:F15"/>
    <mergeCell ref="E46:F46"/>
    <mergeCell ref="A69:D69"/>
    <mergeCell ref="E133:F133"/>
    <mergeCell ref="E89:F89"/>
    <mergeCell ref="E57:F57"/>
    <mergeCell ref="A37:D37"/>
    <mergeCell ref="E54:F54"/>
    <mergeCell ref="E14:G14"/>
    <mergeCell ref="E23:G23"/>
    <mergeCell ref="E134:F134"/>
    <mergeCell ref="E81:F81"/>
    <mergeCell ref="E112:F112"/>
    <mergeCell ref="A2:G2"/>
    <mergeCell ref="E4:G4"/>
    <mergeCell ref="E96:F96"/>
    <mergeCell ref="E43:F43"/>
    <mergeCell ref="E98:F98"/>
    <mergeCell ref="E42:F42"/>
    <mergeCell ref="E17:F17"/>
    <mergeCell ref="E88:F88"/>
    <mergeCell ref="E126:F126"/>
    <mergeCell ref="E140:F140"/>
    <mergeCell ref="E82:F82"/>
    <mergeCell ref="E10:F10"/>
    <mergeCell ref="E138:F138"/>
    <mergeCell ref="E19:F19"/>
    <mergeCell ref="E28:F28"/>
    <mergeCell ref="E9:F9"/>
    <mergeCell ref="E25:G25"/>
    <mergeCell ref="E85:G85"/>
    <mergeCell ref="E11:F11"/>
    <mergeCell ref="E45:F45"/>
    <mergeCell ref="E117:G117"/>
    <mergeCell ref="E5:G5"/>
    <mergeCell ref="E39:G39"/>
    <mergeCell ref="A3:D3"/>
    <mergeCell ref="E48:G48"/>
    <mergeCell ref="E97:F97"/>
    <mergeCell ref="E47:F47"/>
    <mergeCell ref="E21:F21"/>
  </mergeCells>
  <pageMargins left="0.7" right="0.7" top="0.75" bottom="0.75" header="0.3" footer="0.3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6"/>
  <sheetViews>
    <sheetView topLeftCell="A156" workbookViewId="0">
      <selection activeCell="J175" sqref="J175"/>
    </sheetView>
  </sheetViews>
  <sheetFormatPr baseColWidth="8" defaultRowHeight="15"/>
  <cols>
    <col width="3.85546875" customWidth="1" style="101" min="1" max="1"/>
    <col width="5.140625" customWidth="1" style="101" min="2" max="2"/>
    <col width="23.5703125" customWidth="1" style="101" min="3" max="3"/>
    <col width="10.42578125" customWidth="1" style="101" min="4" max="4"/>
    <col width="9.7109375" customWidth="1" style="101" min="5" max="5"/>
    <col hidden="1" width="9.140625" customWidth="1" style="101" min="6" max="7"/>
    <col width="9.140625" customWidth="1" style="101" min="8" max="8"/>
    <col width="8.28515625" customWidth="1" style="101" min="9" max="9"/>
    <col width="9.140625" customWidth="1" style="101" min="10" max="19"/>
    <col width="13.140625" customWidth="1" style="101" min="20" max="20"/>
    <col width="9.140625" customWidth="1" style="101" min="21" max="41"/>
    <col width="9.140625" customWidth="1" style="101" min="42" max="16384"/>
  </cols>
  <sheetData>
    <row r="1" ht="18" customHeight="1" s="101">
      <c r="A1" s="100" t="inlineStr">
        <is>
          <t>KIREMBE SECONDARY SCHOOL.</t>
        </is>
      </c>
    </row>
    <row r="2">
      <c r="A2" s="108" t="inlineStr">
        <is>
          <t xml:space="preserve"> REMEDIAL PAYMENT (FORM 2 A) 2025</t>
        </is>
      </c>
      <c r="E2" s="14" t="n"/>
      <c r="H2" s="14" t="n"/>
      <c r="I2" s="14" t="inlineStr">
        <is>
          <t>1ST TERM</t>
        </is>
      </c>
      <c r="J2" s="14" t="n"/>
      <c r="K2" s="14" t="n"/>
      <c r="L2" s="14" t="inlineStr">
        <is>
          <t>2ND TERM</t>
        </is>
      </c>
      <c r="M2" s="14" t="n"/>
      <c r="N2" s="14" t="n"/>
      <c r="O2" s="14" t="n"/>
      <c r="P2" s="14" t="inlineStr">
        <is>
          <t>3RD TERM</t>
        </is>
      </c>
    </row>
    <row r="3">
      <c r="A3" s="36" t="inlineStr">
        <is>
          <t>NO.</t>
        </is>
      </c>
      <c r="B3" s="36" t="inlineStr">
        <is>
          <t>ADM</t>
        </is>
      </c>
      <c r="C3" t="inlineStr">
        <is>
          <t>NAME</t>
        </is>
      </c>
      <c r="E3" s="103" t="inlineStr">
        <is>
          <t>DEBT</t>
        </is>
      </c>
      <c r="H3" s="104" t="inlineStr">
        <is>
          <t>REPAYMENT</t>
        </is>
      </c>
    </row>
    <row r="4">
      <c r="A4" s="12" t="n"/>
      <c r="B4" s="12" t="n"/>
      <c r="C4" s="13" t="n"/>
      <c r="D4" s="13" t="inlineStr">
        <is>
          <t>ARREAS</t>
        </is>
      </c>
      <c r="E4" s="105" t="n">
        <v>2025</v>
      </c>
      <c r="F4" s="106" t="n"/>
      <c r="G4" s="106" t="n"/>
      <c r="H4" s="13" t="inlineStr">
        <is>
          <t>JAN</t>
        </is>
      </c>
      <c r="I4" s="13" t="inlineStr">
        <is>
          <t>FEB</t>
        </is>
      </c>
      <c r="J4" s="13" t="inlineStr">
        <is>
          <t>MAR</t>
        </is>
      </c>
      <c r="K4" s="13" t="inlineStr">
        <is>
          <t>APR</t>
        </is>
      </c>
      <c r="L4" s="13" t="inlineStr">
        <is>
          <t>MAY</t>
        </is>
      </c>
      <c r="M4" s="13" t="inlineStr">
        <is>
          <t>JUN</t>
        </is>
      </c>
      <c r="N4" s="13" t="inlineStr">
        <is>
          <t>JUL</t>
        </is>
      </c>
      <c r="O4" s="13" t="inlineStr">
        <is>
          <t>AUG</t>
        </is>
      </c>
      <c r="P4" s="13" t="inlineStr">
        <is>
          <t>SEP</t>
        </is>
      </c>
      <c r="Q4" s="13" t="inlineStr">
        <is>
          <t>OCT</t>
        </is>
      </c>
      <c r="R4" s="13" t="inlineStr">
        <is>
          <t>NOV</t>
        </is>
      </c>
      <c r="S4" s="13" t="inlineStr">
        <is>
          <t>PRE PAID</t>
        </is>
      </c>
      <c r="T4" s="13" t="inlineStr">
        <is>
          <t>BALANCE</t>
        </is>
      </c>
    </row>
    <row r="5">
      <c r="A5" s="15" t="inlineStr">
        <is>
          <t>01</t>
        </is>
      </c>
      <c r="B5" s="92" t="n">
        <v>1710</v>
      </c>
      <c r="C5" s="45" t="inlineStr">
        <is>
          <t>MARY ATIENO</t>
        </is>
      </c>
      <c r="D5" s="16" t="n"/>
      <c r="E5" s="98" t="n">
        <v>2200</v>
      </c>
      <c r="F5" s="99" t="n"/>
      <c r="G5" s="97" t="n"/>
      <c r="H5" s="17" t="n">
        <v>2400</v>
      </c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">
        <f>'FORM 2 2025'!D5</f>
        <v/>
      </c>
    </row>
    <row r="6">
      <c r="A6" s="15" t="inlineStr">
        <is>
          <t>02</t>
        </is>
      </c>
      <c r="B6" s="92" t="n">
        <v>1712</v>
      </c>
      <c r="C6" s="92" t="inlineStr">
        <is>
          <t>ASHA LATIFA</t>
        </is>
      </c>
      <c r="D6" s="16" t="n"/>
      <c r="E6" s="98" t="n">
        <v>2200</v>
      </c>
      <c r="F6" s="99" t="n"/>
      <c r="G6" s="9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">
        <f>D6+SUM(E6:G6)-SUM(H6:S6)</f>
        <v/>
      </c>
    </row>
    <row r="7">
      <c r="A7" s="15" t="inlineStr">
        <is>
          <t>03</t>
        </is>
      </c>
      <c r="B7" s="92" t="n">
        <v>1713</v>
      </c>
      <c r="C7" s="92" t="inlineStr">
        <is>
          <t>IVY AWUOR</t>
        </is>
      </c>
      <c r="D7" s="16" t="n"/>
      <c r="E7" s="96" t="n">
        <v>2200</v>
      </c>
      <c r="F7" s="97" t="n"/>
      <c r="G7" s="110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">
        <f>D7+SUM(E7:G7)-SUM(H7:S7)</f>
        <v/>
      </c>
    </row>
    <row r="8">
      <c r="A8" s="15" t="inlineStr">
        <is>
          <t>04</t>
        </is>
      </c>
      <c r="B8" s="92" t="n">
        <v>1716</v>
      </c>
      <c r="C8" s="92" t="inlineStr">
        <is>
          <t>JANE AKINYI</t>
        </is>
      </c>
      <c r="D8" s="16" t="n"/>
      <c r="E8" t="n">
        <v>2200</v>
      </c>
      <c r="G8" s="110" t="n"/>
      <c r="H8" s="17" t="n"/>
      <c r="I8" s="17" t="n"/>
      <c r="J8" s="17" t="n"/>
      <c r="K8" s="17" t="n"/>
      <c r="L8" s="17" t="n">
        <v>400</v>
      </c>
      <c r="M8" s="17" t="n">
        <v>200</v>
      </c>
      <c r="N8" s="17" t="n"/>
      <c r="O8" s="17" t="n"/>
      <c r="P8" s="17" t="n"/>
      <c r="Q8" s="17" t="n"/>
      <c r="R8" s="17" t="n"/>
      <c r="S8" s="17" t="n"/>
      <c r="T8" s="1">
        <f>D8+SUM(E8:G8)-SUM(H8:S8)</f>
        <v/>
      </c>
    </row>
    <row r="9">
      <c r="A9" s="15" t="inlineStr">
        <is>
          <t>05</t>
        </is>
      </c>
      <c r="B9" s="92" t="n">
        <v>1717</v>
      </c>
      <c r="C9" s="92" t="inlineStr">
        <is>
          <t>WILFRIDA ANYANGO</t>
        </is>
      </c>
      <c r="D9" s="16" t="n">
        <v>1400</v>
      </c>
      <c r="E9" s="96" t="n">
        <v>2200</v>
      </c>
      <c r="F9" s="97" t="n"/>
      <c r="G9" s="110" t="n"/>
      <c r="H9" s="17" t="n">
        <v>1400</v>
      </c>
      <c r="I9" s="17" t="n"/>
      <c r="J9" s="17" t="n">
        <v>600</v>
      </c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">
        <f>D9+SUM(E9:G9)-SUM(H9:S9)</f>
        <v/>
      </c>
    </row>
    <row r="10">
      <c r="A10" s="15" t="inlineStr">
        <is>
          <t>06</t>
        </is>
      </c>
      <c r="B10" s="92" t="n">
        <v>1720</v>
      </c>
      <c r="C10" s="92" t="inlineStr">
        <is>
          <t>EFFEY IDA ACHIENG</t>
        </is>
      </c>
      <c r="D10" s="16" t="n"/>
      <c r="E10" s="96" t="n">
        <v>2200</v>
      </c>
      <c r="F10" s="97" t="n"/>
      <c r="G10" s="110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">
        <f>D10+SUM(E10:G10)-SUM(H10:S10)</f>
        <v/>
      </c>
    </row>
    <row r="11">
      <c r="A11" s="15" t="inlineStr">
        <is>
          <t>07</t>
        </is>
      </c>
      <c r="B11" s="92" t="n">
        <v>1722</v>
      </c>
      <c r="C11" s="92" t="inlineStr">
        <is>
          <t>MARION ANYANGO</t>
        </is>
      </c>
      <c r="D11" s="16" t="n"/>
      <c r="E11" s="96" t="n">
        <v>2200</v>
      </c>
      <c r="F11" s="97" t="n"/>
      <c r="G11" s="110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">
        <f>D11+SUM(E11:G11)-SUM(H11:S11)</f>
        <v/>
      </c>
    </row>
    <row r="12">
      <c r="A12" s="15" t="inlineStr">
        <is>
          <t>08</t>
        </is>
      </c>
      <c r="B12" s="92" t="n">
        <v>1727</v>
      </c>
      <c r="C12" s="92" t="inlineStr">
        <is>
          <t>LYDIA AWUOR</t>
        </is>
      </c>
      <c r="D12" s="16" t="n"/>
      <c r="E12" s="98" t="n">
        <v>2200</v>
      </c>
      <c r="F12" s="99" t="n"/>
      <c r="G12" s="97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1">
        <f>D12+SUM(E12:G12)-SUM(H12:S12)</f>
        <v/>
      </c>
    </row>
    <row r="13">
      <c r="A13" s="15" t="inlineStr">
        <is>
          <t>09</t>
        </is>
      </c>
      <c r="B13" s="92" t="n">
        <v>1737</v>
      </c>
      <c r="C13" s="92" t="inlineStr">
        <is>
          <t>STACY ACHIENG</t>
        </is>
      </c>
      <c r="D13" s="16" t="n"/>
      <c r="E13" s="98" t="n">
        <v>2200</v>
      </c>
      <c r="F13" s="99" t="n"/>
      <c r="G13" s="97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1">
        <f>D13+SUM(E13:G13)-SUM(H13:S13)</f>
        <v/>
      </c>
    </row>
    <row r="14">
      <c r="A14" s="15" t="inlineStr">
        <is>
          <t>11</t>
        </is>
      </c>
      <c r="B14" s="92" t="n">
        <v>1747</v>
      </c>
      <c r="C14" s="92" t="inlineStr">
        <is>
          <t>CHRISTINE ATIENO</t>
        </is>
      </c>
      <c r="D14" s="16" t="n"/>
      <c r="E14" s="96" t="n">
        <v>2200</v>
      </c>
      <c r="F14" s="97" t="n"/>
      <c r="G14" s="110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1">
        <f>D14+SUM(E14:G14)-SUM(H14:S14)</f>
        <v/>
      </c>
    </row>
    <row r="15">
      <c r="A15" s="15" t="inlineStr">
        <is>
          <t>12</t>
        </is>
      </c>
      <c r="B15" s="92" t="n">
        <v>1748</v>
      </c>
      <c r="C15" s="92" t="inlineStr">
        <is>
          <t>PAMELA AKINYI</t>
        </is>
      </c>
      <c r="D15" s="16" t="n"/>
      <c r="E15" s="96" t="n">
        <v>2200</v>
      </c>
      <c r="F15" s="97" t="n"/>
      <c r="G15" s="110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1">
        <f>D15+SUM(E15:G15)-SUM(H15:S15)</f>
        <v/>
      </c>
    </row>
    <row r="16" ht="17.25" customHeight="1" s="101">
      <c r="A16" s="15" t="inlineStr">
        <is>
          <t>13</t>
        </is>
      </c>
      <c r="B16" s="92" t="n">
        <v>1752</v>
      </c>
      <c r="C16" s="92" t="inlineStr">
        <is>
          <t>LAVINA INZIANI</t>
        </is>
      </c>
      <c r="D16" s="16" t="n"/>
      <c r="E16" s="96" t="n">
        <v>2200</v>
      </c>
      <c r="F16" s="97" t="n"/>
      <c r="G16" s="110" t="n"/>
      <c r="H16" s="41" t="n">
        <v>300</v>
      </c>
      <c r="I16" s="41" t="n">
        <v>100</v>
      </c>
      <c r="J16" s="41" t="n">
        <v>500</v>
      </c>
      <c r="K16" s="41" t="n"/>
      <c r="L16" s="41" t="n"/>
      <c r="M16" s="41" t="n"/>
      <c r="N16" s="41" t="n"/>
      <c r="O16" s="41" t="n"/>
      <c r="P16" s="41" t="n">
        <v>500</v>
      </c>
      <c r="Q16" s="41" t="n"/>
      <c r="R16" s="41" t="n"/>
      <c r="S16" s="41" t="n"/>
      <c r="T16" s="1">
        <f>D16+SUM(E16:G16)-SUM(H16:S16)</f>
        <v/>
      </c>
    </row>
    <row r="17">
      <c r="A17" s="15" t="inlineStr">
        <is>
          <t>14</t>
        </is>
      </c>
      <c r="B17" s="92" t="n">
        <v>1754</v>
      </c>
      <c r="C17" s="45" t="inlineStr">
        <is>
          <t>IRENE AKOTH</t>
        </is>
      </c>
      <c r="D17" s="16" t="n"/>
      <c r="E17" s="96" t="n">
        <v>2200</v>
      </c>
      <c r="F17" s="97" t="n"/>
      <c r="G17" s="110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1">
        <f>D17+SUM(E17:G17)-SUM(H17:S17)</f>
        <v/>
      </c>
    </row>
    <row r="18">
      <c r="A18" s="15" t="inlineStr">
        <is>
          <t>15</t>
        </is>
      </c>
      <c r="B18" s="92" t="n">
        <v>1756</v>
      </c>
      <c r="C18" s="45" t="inlineStr">
        <is>
          <t>BERYL ATIENO</t>
        </is>
      </c>
      <c r="D18" s="16" t="n"/>
      <c r="E18" s="96" t="n">
        <v>2200</v>
      </c>
      <c r="F18" s="97" t="n"/>
      <c r="G18" s="110" t="n"/>
      <c r="H18" s="41" t="n"/>
      <c r="I18" s="52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1">
        <f>D18+SUM(E18:G18)-SUM(H18:S18)</f>
        <v/>
      </c>
    </row>
    <row r="19">
      <c r="A19" s="15" t="inlineStr">
        <is>
          <t>16</t>
        </is>
      </c>
      <c r="B19" s="92" t="n">
        <v>1757</v>
      </c>
      <c r="C19" s="54" t="inlineStr">
        <is>
          <t>CHRISTINE ACHIENG</t>
        </is>
      </c>
      <c r="D19" s="16" t="n"/>
      <c r="E19" s="96" t="n">
        <v>2200</v>
      </c>
      <c r="F19" s="97" t="n"/>
      <c r="G19" s="110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>
        <v>1400</v>
      </c>
      <c r="Q19" s="41" t="n"/>
      <c r="R19" s="41" t="n"/>
      <c r="S19" s="41" t="n"/>
      <c r="T19" s="1">
        <f>D19+SUM(E19:G19)-SUM(H19:S19)</f>
        <v/>
      </c>
    </row>
    <row r="20">
      <c r="A20" s="15" t="inlineStr">
        <is>
          <t>17</t>
        </is>
      </c>
      <c r="B20" s="92" t="n">
        <v>1758</v>
      </c>
      <c r="C20" s="45" t="inlineStr">
        <is>
          <t>SHELVIA AKINYI</t>
        </is>
      </c>
      <c r="D20" s="16" t="n"/>
      <c r="E20" s="96" t="n">
        <v>2200</v>
      </c>
      <c r="F20" s="97" t="n"/>
      <c r="G20" s="110" t="n"/>
      <c r="H20" s="41" t="n"/>
      <c r="I20" s="41" t="n"/>
      <c r="J20" s="41" t="n"/>
      <c r="K20" s="41" t="n"/>
      <c r="L20" s="41" t="n"/>
      <c r="M20" s="41" t="n">
        <v>200</v>
      </c>
      <c r="N20" s="65" t="n"/>
      <c r="O20" s="41" t="n"/>
      <c r="P20" s="41" t="n"/>
      <c r="Q20" s="41" t="n"/>
      <c r="R20" s="41" t="n"/>
      <c r="S20" s="41" t="n"/>
      <c r="T20" s="1">
        <f>D20+SUM(E20:G20)-SUM(H20:S20)</f>
        <v/>
      </c>
    </row>
    <row r="21">
      <c r="A21" s="15" t="inlineStr">
        <is>
          <t>18</t>
        </is>
      </c>
      <c r="B21" s="92" t="n">
        <v>1766</v>
      </c>
      <c r="C21" s="92" t="inlineStr">
        <is>
          <t>PURITY AWUOR</t>
        </is>
      </c>
      <c r="D21" s="16" t="n"/>
      <c r="E21" s="98" t="n">
        <v>2200</v>
      </c>
      <c r="F21" s="99" t="n"/>
      <c r="G21" s="97" t="n"/>
      <c r="H21" s="17" t="n">
        <v>200</v>
      </c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">
        <f>D21+SUM(E21:G21)-SUM(H21:S21)</f>
        <v/>
      </c>
    </row>
    <row r="22">
      <c r="A22" s="15" t="inlineStr">
        <is>
          <t>19</t>
        </is>
      </c>
      <c r="B22" s="92" t="n">
        <v>1767</v>
      </c>
      <c r="C22" s="45" t="inlineStr">
        <is>
          <t>IRENE AKINYI</t>
        </is>
      </c>
      <c r="D22" s="16" t="n"/>
      <c r="E22" s="98" t="n">
        <v>2200</v>
      </c>
      <c r="F22" s="99" t="n"/>
      <c r="G22" s="97" t="n"/>
      <c r="H22" s="17" t="n"/>
      <c r="I22" s="17" t="n"/>
      <c r="J22" s="17" t="n"/>
      <c r="K22" s="17" t="n"/>
      <c r="L22" s="17" t="n">
        <v>500</v>
      </c>
      <c r="M22" s="17" t="n"/>
      <c r="N22" s="17" t="n">
        <v>700</v>
      </c>
      <c r="O22" s="17" t="n"/>
      <c r="P22" s="17" t="n">
        <v>500</v>
      </c>
      <c r="Q22" s="17" t="n"/>
      <c r="R22" s="17" t="n"/>
      <c r="S22" s="17" t="n"/>
      <c r="T22" s="1">
        <f>D22+SUM(E22:G22)-SUM(H22:S22)</f>
        <v/>
      </c>
    </row>
    <row r="23">
      <c r="A23" s="15" t="inlineStr">
        <is>
          <t>20</t>
        </is>
      </c>
      <c r="B23" s="92" t="n">
        <v>1770</v>
      </c>
      <c r="C23" s="45" t="inlineStr">
        <is>
          <t>IDA ACHIENG</t>
        </is>
      </c>
      <c r="D23" s="16" t="n">
        <v>1100</v>
      </c>
      <c r="E23" s="98" t="n">
        <v>2200</v>
      </c>
      <c r="F23" s="99" t="n"/>
      <c r="G23" s="97" t="n"/>
      <c r="H23" s="17" t="n">
        <v>1100</v>
      </c>
      <c r="I23" s="17" t="n"/>
      <c r="J23" s="17" t="n"/>
      <c r="K23" s="17" t="n"/>
      <c r="L23" s="17" t="n"/>
      <c r="M23" s="17" t="n"/>
      <c r="N23" s="17" t="n"/>
      <c r="O23" s="17" t="n"/>
      <c r="P23" s="37" t="n"/>
      <c r="Q23" s="17" t="n"/>
      <c r="R23" s="17" t="n"/>
      <c r="S23" s="17" t="n"/>
      <c r="T23" s="1">
        <f>D23+SUM(E23:G23)-SUM(H23:S23)</f>
        <v/>
      </c>
    </row>
    <row r="24">
      <c r="A24" s="15" t="inlineStr">
        <is>
          <t>21</t>
        </is>
      </c>
      <c r="B24" s="92" t="n">
        <v>1772</v>
      </c>
      <c r="C24" s="45" t="inlineStr">
        <is>
          <t>VALLARY AUMA</t>
        </is>
      </c>
      <c r="D24" s="16" t="n"/>
      <c r="E24" s="98" t="n">
        <v>2200</v>
      </c>
      <c r="F24" s="99" t="n"/>
      <c r="G24" s="97" t="n"/>
      <c r="H24" s="17" t="n">
        <v>300</v>
      </c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">
        <f>D24+SUM(E24:G24)-SUM(H24:S24)</f>
        <v/>
      </c>
    </row>
    <row r="25">
      <c r="A25" s="15" t="inlineStr">
        <is>
          <t>15</t>
        </is>
      </c>
      <c r="B25" s="92" t="n">
        <v>1774</v>
      </c>
      <c r="C25" s="92" t="inlineStr">
        <is>
          <t>DAVINE AWUOR</t>
        </is>
      </c>
      <c r="D25" s="16" t="n"/>
      <c r="E25" s="96" t="n">
        <v>2200</v>
      </c>
      <c r="F25" s="97" t="n"/>
      <c r="G25" s="110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">
        <f>D25+SUM(E25:G25)-SUM(H25:S25)</f>
        <v/>
      </c>
    </row>
    <row r="26">
      <c r="A26" s="15" t="inlineStr">
        <is>
          <t>23</t>
        </is>
      </c>
      <c r="B26" s="92" t="n">
        <v>1781</v>
      </c>
      <c r="C26" s="92" t="inlineStr">
        <is>
          <t>LOREEN  ATARO</t>
        </is>
      </c>
      <c r="D26" s="16" t="n">
        <v>600</v>
      </c>
      <c r="E26" s="96" t="n">
        <v>2200</v>
      </c>
      <c r="F26" s="97" t="n"/>
      <c r="G26" s="110" t="n"/>
      <c r="H26" s="17" t="n">
        <v>600</v>
      </c>
      <c r="I26" s="17" t="n">
        <v>2000</v>
      </c>
      <c r="J26" s="17" t="n">
        <v>1000</v>
      </c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">
        <f>D26+SUM(E26:G26)-SUM(H26:S26)</f>
        <v/>
      </c>
    </row>
    <row r="27">
      <c r="A27" s="15" t="inlineStr">
        <is>
          <t>24</t>
        </is>
      </c>
      <c r="B27" s="92" t="n">
        <v>1783</v>
      </c>
      <c r="C27" s="92" t="inlineStr">
        <is>
          <t>VIOLET AKINYI AKUKU</t>
        </is>
      </c>
      <c r="D27" s="16" t="n"/>
      <c r="E27" s="96" t="n">
        <v>2200</v>
      </c>
      <c r="F27" s="97" t="n"/>
      <c r="G27" s="110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">
        <f>D27+SUM(E27:G27)-SUM(H27:S27)</f>
        <v/>
      </c>
    </row>
    <row r="28">
      <c r="A28" s="15" t="inlineStr">
        <is>
          <t>25</t>
        </is>
      </c>
      <c r="B28" s="92" t="n">
        <v>1786</v>
      </c>
      <c r="C28" s="92" t="inlineStr">
        <is>
          <t>MAGRET AKINYI</t>
        </is>
      </c>
      <c r="D28" s="16" t="n"/>
      <c r="E28" s="96" t="n">
        <v>2200</v>
      </c>
      <c r="F28" s="97" t="n"/>
      <c r="G28" s="110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">
        <f>D28+SUM(E28:G28)-SUM(H28:S28)</f>
        <v/>
      </c>
    </row>
    <row r="29">
      <c r="A29" s="15" t="inlineStr">
        <is>
          <t>26</t>
        </is>
      </c>
      <c r="B29" s="92" t="n">
        <v>1787</v>
      </c>
      <c r="C29" s="45" t="inlineStr">
        <is>
          <t>SUSAN ADHIAMBO</t>
        </is>
      </c>
      <c r="D29" s="16" t="n"/>
      <c r="E29" s="98" t="n">
        <v>2200</v>
      </c>
      <c r="F29" s="99" t="n"/>
      <c r="G29" s="97" t="n"/>
      <c r="H29" s="17" t="n">
        <v>200</v>
      </c>
      <c r="I29" s="17" t="n"/>
      <c r="J29" s="17" t="n">
        <v>200</v>
      </c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">
        <f>D29+SUM(E29:G29)-SUM(H29:S29)</f>
        <v/>
      </c>
    </row>
    <row r="30">
      <c r="A30" s="15" t="inlineStr">
        <is>
          <t>27</t>
        </is>
      </c>
      <c r="B30" s="92" t="inlineStr">
        <is>
          <t>1789</t>
        </is>
      </c>
      <c r="C30" s="92" t="inlineStr">
        <is>
          <t>PEREZ ATIENO</t>
        </is>
      </c>
      <c r="D30" s="16" t="n">
        <v>900</v>
      </c>
      <c r="E30" s="98" t="n">
        <v>3100</v>
      </c>
      <c r="F30" s="99" t="n"/>
      <c r="G30" s="97" t="n"/>
      <c r="H30" s="20" t="n"/>
      <c r="I30" s="91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" t="n"/>
    </row>
    <row r="31" ht="15.75" customHeight="1" s="101" thickBot="1">
      <c r="A31" s="21" t="n"/>
      <c r="B31" s="21" t="n"/>
      <c r="C31" s="22" t="inlineStr">
        <is>
          <t>TOTAL</t>
        </is>
      </c>
      <c r="D31" s="7">
        <f>SUM(D5:D30)</f>
        <v/>
      </c>
      <c r="E31" s="8">
        <f>SUM(E5:E30)</f>
        <v/>
      </c>
      <c r="F31" s="8">
        <f>SUM(F5:F30)</f>
        <v/>
      </c>
      <c r="G31" s="8">
        <f>SUM(G5:G30)</f>
        <v/>
      </c>
      <c r="H31" s="8">
        <f>SUM(H5:H30)</f>
        <v/>
      </c>
      <c r="I31" s="8">
        <f>SUM(I5:I30)</f>
        <v/>
      </c>
      <c r="J31" s="8">
        <f>SUM(J5:J30)</f>
        <v/>
      </c>
      <c r="K31" s="8">
        <f>SUM(K5:K30)</f>
        <v/>
      </c>
      <c r="L31" s="8">
        <f>SUM(L5:L30)</f>
        <v/>
      </c>
      <c r="M31" s="8">
        <f>SUM(M5:M30)</f>
        <v/>
      </c>
      <c r="N31" s="8">
        <f>SUM(N5:N30)</f>
        <v/>
      </c>
      <c r="O31" s="8">
        <f>SUM(O5:O30)</f>
        <v/>
      </c>
      <c r="P31" s="8">
        <f>SUM(P5:P30)</f>
        <v/>
      </c>
      <c r="Q31" s="8">
        <f>SUM(Q5:Q30)</f>
        <v/>
      </c>
      <c r="R31" s="8">
        <f>SUM(R5:R30)</f>
        <v/>
      </c>
      <c r="S31" s="8">
        <f>SUM(S5:S30)</f>
        <v/>
      </c>
      <c r="T31" s="9">
        <f>SUM(T5:T30)</f>
        <v/>
      </c>
    </row>
    <row r="32">
      <c r="A32" s="46" t="n"/>
      <c r="B32" s="46" t="n"/>
      <c r="C32" s="47" t="n"/>
      <c r="D32" s="48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50" t="n"/>
    </row>
    <row r="33">
      <c r="A33" s="46" t="n"/>
      <c r="B33" s="46" t="n"/>
      <c r="C33" s="47" t="n"/>
      <c r="D33" s="48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50" t="n"/>
    </row>
    <row r="34">
      <c r="A34" s="46" t="n"/>
      <c r="B34" s="46" t="n"/>
      <c r="C34" s="47" t="n"/>
      <c r="D34" s="48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50" t="n"/>
    </row>
    <row r="35" ht="18" customHeight="1" s="101">
      <c r="A35" s="100" t="inlineStr">
        <is>
          <t>KIREMBE SECONDARY SCHOOL.</t>
        </is>
      </c>
    </row>
    <row r="36">
      <c r="A36" s="108" t="inlineStr">
        <is>
          <t>REMEDIAL PAYMENTS (FORM 2 A) 2025</t>
        </is>
      </c>
      <c r="E36" s="14" t="n"/>
      <c r="H36" s="14" t="n"/>
      <c r="I36" s="14" t="inlineStr">
        <is>
          <t>1ST TERM</t>
        </is>
      </c>
      <c r="J36" s="14" t="n"/>
      <c r="K36" s="14" t="n"/>
      <c r="L36" s="14" t="inlineStr">
        <is>
          <t>2ND TERM</t>
        </is>
      </c>
      <c r="M36" s="14" t="n"/>
      <c r="N36" s="14" t="n"/>
      <c r="O36" s="14" t="n"/>
      <c r="P36" s="14" t="inlineStr">
        <is>
          <t>3RD TERM</t>
        </is>
      </c>
    </row>
    <row r="37">
      <c r="A37" s="36" t="inlineStr">
        <is>
          <t>NO.</t>
        </is>
      </c>
      <c r="B37" s="36" t="inlineStr">
        <is>
          <t>ADM</t>
        </is>
      </c>
      <c r="C37" t="inlineStr">
        <is>
          <t>NAME</t>
        </is>
      </c>
      <c r="E37" s="103" t="inlineStr">
        <is>
          <t>DEBT</t>
        </is>
      </c>
      <c r="H37" s="104" t="inlineStr">
        <is>
          <t>REPAYMENT</t>
        </is>
      </c>
    </row>
    <row r="38">
      <c r="A38" s="12" t="n"/>
      <c r="B38" s="12" t="n"/>
      <c r="C38" s="13" t="n"/>
      <c r="D38" s="13" t="inlineStr">
        <is>
          <t>ARREAS</t>
        </is>
      </c>
      <c r="E38" s="105" t="n">
        <v>2025</v>
      </c>
      <c r="F38" s="106" t="n"/>
      <c r="G38" s="106" t="n"/>
      <c r="H38" s="13" t="inlineStr">
        <is>
          <t>JAN</t>
        </is>
      </c>
      <c r="I38" s="13" t="inlineStr">
        <is>
          <t>FEB</t>
        </is>
      </c>
      <c r="J38" s="13" t="inlineStr">
        <is>
          <t>MAR</t>
        </is>
      </c>
      <c r="K38" s="13" t="inlineStr">
        <is>
          <t>APR</t>
        </is>
      </c>
      <c r="L38" s="13" t="inlineStr">
        <is>
          <t>MAY</t>
        </is>
      </c>
      <c r="M38" s="13" t="inlineStr">
        <is>
          <t>JUN</t>
        </is>
      </c>
      <c r="N38" s="13" t="inlineStr">
        <is>
          <t>JUL</t>
        </is>
      </c>
      <c r="O38" s="13" t="inlineStr">
        <is>
          <t>AUG</t>
        </is>
      </c>
      <c r="P38" s="13" t="inlineStr">
        <is>
          <t>SEP</t>
        </is>
      </c>
      <c r="Q38" s="13" t="inlineStr">
        <is>
          <t>OCT</t>
        </is>
      </c>
      <c r="R38" s="13" t="inlineStr">
        <is>
          <t>NOV</t>
        </is>
      </c>
      <c r="S38" s="13" t="inlineStr">
        <is>
          <t>PRE PAID</t>
        </is>
      </c>
      <c r="T38" s="13" t="inlineStr">
        <is>
          <t>BALANCE</t>
        </is>
      </c>
    </row>
    <row r="39">
      <c r="A39" s="15" t="n"/>
      <c r="B39" s="92" t="n">
        <v>1</v>
      </c>
      <c r="C39" s="24" t="inlineStr">
        <is>
          <t>BALANCE B/D</t>
        </is>
      </c>
      <c r="D39" s="25">
        <f>D31</f>
        <v/>
      </c>
      <c r="E39" s="98">
        <f>E31</f>
        <v/>
      </c>
      <c r="F39" s="99" t="n"/>
      <c r="G39" s="97" t="n"/>
      <c r="H39" s="26">
        <f>H31</f>
        <v/>
      </c>
      <c r="I39" s="27">
        <f>I31</f>
        <v/>
      </c>
      <c r="J39" s="27">
        <f>J31</f>
        <v/>
      </c>
      <c r="K39" s="27">
        <f>K31</f>
        <v/>
      </c>
      <c r="L39" s="27">
        <f>L31</f>
        <v/>
      </c>
      <c r="M39" s="27">
        <f>M31</f>
        <v/>
      </c>
      <c r="N39" s="27">
        <f>N31</f>
        <v/>
      </c>
      <c r="O39" s="27">
        <f>O31</f>
        <v/>
      </c>
      <c r="P39" s="27">
        <f>P31</f>
        <v/>
      </c>
      <c r="Q39" s="27">
        <f>Q31</f>
        <v/>
      </c>
      <c r="R39" s="27" t="n"/>
      <c r="S39" s="26">
        <f>S31</f>
        <v/>
      </c>
      <c r="T39" s="1">
        <f>T31</f>
        <v/>
      </c>
    </row>
    <row r="40">
      <c r="A40" s="15" t="inlineStr">
        <is>
          <t>28</t>
        </is>
      </c>
      <c r="B40" s="92" t="n">
        <v>1793</v>
      </c>
      <c r="C40" s="23" t="inlineStr">
        <is>
          <t>STACY ADHIAMBO</t>
        </is>
      </c>
      <c r="D40" s="19" t="n"/>
      <c r="E40" s="98" t="n">
        <v>2200</v>
      </c>
      <c r="F40" s="99" t="n"/>
      <c r="G40" s="97" t="n"/>
      <c r="H40" s="17" t="n">
        <v>0</v>
      </c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">
        <f>D40+SUM(E40:G40)-SUM(H40:S40)</f>
        <v/>
      </c>
    </row>
    <row r="41">
      <c r="A41" s="15" t="inlineStr">
        <is>
          <t>29</t>
        </is>
      </c>
      <c r="B41" s="92" t="n">
        <v>1794</v>
      </c>
      <c r="C41" s="45" t="inlineStr">
        <is>
          <t>SCOVIAN AKINYI</t>
        </is>
      </c>
      <c r="D41" s="19" t="n"/>
      <c r="E41" s="96" t="n">
        <v>2200</v>
      </c>
      <c r="F41" s="97" t="n"/>
      <c r="G41" s="110" t="n"/>
      <c r="H41" s="17" t="n">
        <v>0</v>
      </c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">
        <f>D41+SUM(E41:G41)-SUM(H41:S41)</f>
        <v/>
      </c>
    </row>
    <row r="42">
      <c r="A42" s="15" t="inlineStr">
        <is>
          <t>30</t>
        </is>
      </c>
      <c r="B42" s="92" t="n">
        <v>1797</v>
      </c>
      <c r="C42" s="45" t="inlineStr">
        <is>
          <t>LUDY ATIENO</t>
        </is>
      </c>
      <c r="D42" s="19" t="n"/>
      <c r="E42" s="96" t="n">
        <v>2200</v>
      </c>
      <c r="F42" s="97" t="n"/>
      <c r="G42" s="110" t="n"/>
      <c r="H42" s="17" t="n">
        <v>0</v>
      </c>
      <c r="I42" s="17" t="n"/>
      <c r="J42" s="17" t="n"/>
      <c r="K42" s="17" t="n"/>
      <c r="L42" s="17" t="n"/>
      <c r="M42" s="17" t="n"/>
      <c r="N42" s="17" t="n">
        <v>800</v>
      </c>
      <c r="O42" s="17" t="n"/>
      <c r="P42" s="17" t="n"/>
      <c r="Q42" s="17" t="n"/>
      <c r="R42" s="17" t="n"/>
      <c r="S42" s="17" t="n"/>
      <c r="T42" s="1">
        <f>D42+SUM(E42:G42)-SUM(H42:S42)</f>
        <v/>
      </c>
    </row>
    <row r="43">
      <c r="A43" s="15" t="inlineStr">
        <is>
          <t>31</t>
        </is>
      </c>
      <c r="B43" s="92" t="n">
        <v>1802</v>
      </c>
      <c r="C43" s="45" t="inlineStr">
        <is>
          <t>STACY  .A.OTUOMA</t>
        </is>
      </c>
      <c r="D43" s="19" t="n">
        <v>600</v>
      </c>
      <c r="E43" s="98" t="n">
        <v>2200</v>
      </c>
      <c r="F43" s="99" t="n"/>
      <c r="G43" s="97" t="n"/>
      <c r="H43" s="17" t="n">
        <v>800</v>
      </c>
      <c r="I43" s="17" t="n">
        <v>800</v>
      </c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1">
        <f>D43+SUM(E43:G43)-SUM(H43:S43)</f>
        <v/>
      </c>
    </row>
    <row r="44">
      <c r="A44" s="15" t="inlineStr">
        <is>
          <t>32</t>
        </is>
      </c>
      <c r="B44" s="92" t="n">
        <v>1815</v>
      </c>
      <c r="C44" s="92" t="inlineStr">
        <is>
          <t>RECHO ATIENO</t>
        </is>
      </c>
      <c r="D44" s="19" t="n"/>
      <c r="E44" s="96" t="n">
        <v>2200</v>
      </c>
      <c r="F44" s="97" t="n"/>
      <c r="G44" s="110" t="n"/>
      <c r="H44" s="17" t="n">
        <v>0</v>
      </c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">
        <f>D44+SUM(E44:G44)-SUM(H44:S44)</f>
        <v/>
      </c>
    </row>
    <row r="45">
      <c r="A45" s="15" t="inlineStr">
        <is>
          <t>33</t>
        </is>
      </c>
      <c r="B45" s="92" t="n">
        <v>1818</v>
      </c>
      <c r="C45" s="92" t="inlineStr">
        <is>
          <t>MILDRED ATIENO</t>
        </is>
      </c>
      <c r="D45" s="19" t="n"/>
      <c r="E45" s="96" t="n">
        <v>2200</v>
      </c>
      <c r="F45" s="97" t="n"/>
      <c r="G45" s="110" t="n"/>
      <c r="H45" s="17" t="n">
        <v>0</v>
      </c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">
        <f>D45+SUM(E45:F45)-SUM(H45:S45)</f>
        <v/>
      </c>
    </row>
    <row r="46">
      <c r="A46" s="15" t="inlineStr">
        <is>
          <t>34</t>
        </is>
      </c>
      <c r="B46" s="92" t="n">
        <v>1819</v>
      </c>
      <c r="C46" s="92" t="inlineStr">
        <is>
          <t>MITCHEL ATIENO</t>
        </is>
      </c>
      <c r="D46" s="19" t="n"/>
      <c r="E46" s="96" t="n">
        <v>2200</v>
      </c>
      <c r="F46" s="97" t="n"/>
      <c r="G46" s="110" t="n"/>
      <c r="H46" s="17" t="n">
        <v>0</v>
      </c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">
        <f>D46+SUM(E46:G46)-SUM(H46:S46)</f>
        <v/>
      </c>
    </row>
    <row r="47">
      <c r="A47" s="15" t="inlineStr">
        <is>
          <t>36</t>
        </is>
      </c>
      <c r="B47" s="92" t="n">
        <v>1828</v>
      </c>
      <c r="C47" s="45" t="inlineStr">
        <is>
          <t>JANE ATIENO</t>
        </is>
      </c>
      <c r="D47" s="19" t="n"/>
      <c r="E47" s="98" t="n">
        <v>2200</v>
      </c>
      <c r="F47" s="99" t="n"/>
      <c r="G47" s="97" t="n"/>
      <c r="H47" s="17" t="n">
        <v>800</v>
      </c>
      <c r="I47" s="17" t="n"/>
      <c r="J47" s="17" t="n"/>
      <c r="K47" s="17" t="n"/>
      <c r="L47" s="37" t="n"/>
      <c r="M47" s="17" t="n"/>
      <c r="N47" s="17" t="n"/>
      <c r="O47" s="17" t="n"/>
      <c r="P47" s="17" t="n"/>
      <c r="Q47" s="17" t="n"/>
      <c r="R47" s="17" t="n"/>
      <c r="S47" s="17" t="n"/>
      <c r="T47" s="10">
        <f>D47+SUM(E47:G47)-SUM(H47:S47)</f>
        <v/>
      </c>
    </row>
    <row r="48">
      <c r="A48" s="15" t="inlineStr">
        <is>
          <t>37</t>
        </is>
      </c>
      <c r="B48" s="92" t="n">
        <v>1831</v>
      </c>
      <c r="C48" s="92" t="inlineStr">
        <is>
          <t>TRACY A OCHIENG</t>
        </is>
      </c>
      <c r="D48" s="19" t="n"/>
      <c r="E48" s="96" t="n">
        <v>2200</v>
      </c>
      <c r="F48" s="97" t="n"/>
      <c r="G48" s="110" t="n"/>
      <c r="H48" s="17" t="n">
        <v>750</v>
      </c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">
        <f>D48+SUM(E48:G48)-SUM(H48:S48)</f>
        <v/>
      </c>
    </row>
    <row r="49">
      <c r="A49" s="15" t="inlineStr">
        <is>
          <t>38</t>
        </is>
      </c>
      <c r="B49" s="92" t="n">
        <v>1836</v>
      </c>
      <c r="C49" s="92" t="inlineStr">
        <is>
          <t>EDEL  ATIENO</t>
        </is>
      </c>
      <c r="D49" s="19" t="n"/>
      <c r="E49" s="96" t="n">
        <v>2200</v>
      </c>
      <c r="F49" s="97" t="n"/>
      <c r="G49" s="110" t="n"/>
      <c r="H49" s="17" t="n">
        <v>0</v>
      </c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">
        <f>D49+SUM(E49:G49)-SUM(H49:S49)</f>
        <v/>
      </c>
    </row>
    <row r="50">
      <c r="A50" s="15" t="inlineStr">
        <is>
          <t>39</t>
        </is>
      </c>
      <c r="B50" s="92" t="n">
        <v>1839</v>
      </c>
      <c r="C50" s="92" t="inlineStr">
        <is>
          <t>CAROLINE AKINYI</t>
        </is>
      </c>
      <c r="D50" s="19" t="n"/>
      <c r="E50" s="96" t="n">
        <v>2200</v>
      </c>
      <c r="F50" s="97" t="n"/>
      <c r="G50" s="110" t="n"/>
      <c r="H50" s="17" t="n">
        <v>0</v>
      </c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">
        <f>D50+SUM(E50:G50)-SUM(H50:S50)</f>
        <v/>
      </c>
    </row>
    <row r="51">
      <c r="A51" s="15" t="inlineStr">
        <is>
          <t>40</t>
        </is>
      </c>
      <c r="B51" s="92" t="n">
        <v>1840</v>
      </c>
      <c r="C51" s="45" t="inlineStr">
        <is>
          <t>LATIFA ABUBAKAR</t>
        </is>
      </c>
      <c r="D51" s="19" t="n"/>
      <c r="E51" s="96" t="n">
        <v>2200</v>
      </c>
      <c r="F51" s="97" t="n"/>
      <c r="G51" s="110" t="n"/>
      <c r="H51" s="17" t="n">
        <v>0</v>
      </c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">
        <f>D51+SUM(E51:G51)-SUM(H51:S51)</f>
        <v/>
      </c>
    </row>
    <row r="52">
      <c r="A52" s="15" t="inlineStr">
        <is>
          <t>41</t>
        </is>
      </c>
      <c r="B52" s="92" t="n">
        <v>1844</v>
      </c>
      <c r="C52" s="45" t="inlineStr">
        <is>
          <t>BETTY ODERA</t>
        </is>
      </c>
      <c r="D52" s="19" t="n"/>
      <c r="E52" s="96" t="n">
        <v>2200</v>
      </c>
      <c r="F52" s="97" t="n"/>
      <c r="G52" s="110" t="n"/>
      <c r="H52" s="17" t="n">
        <v>0</v>
      </c>
      <c r="I52" s="20" t="n"/>
      <c r="J52" s="20" t="n"/>
      <c r="K52" s="20" t="n"/>
      <c r="L52" s="20" t="n"/>
      <c r="M52" s="20" t="n"/>
      <c r="N52" s="20" t="n"/>
      <c r="O52" s="20" t="n"/>
      <c r="P52" s="20" t="n">
        <v>600</v>
      </c>
      <c r="Q52" s="20" t="n"/>
      <c r="R52" s="20" t="n"/>
      <c r="S52" s="20" t="n"/>
      <c r="T52" s="1">
        <f>D52+SUM(E52:G52)-SUM(H52:S52)</f>
        <v/>
      </c>
    </row>
    <row r="53">
      <c r="A53" s="15" t="inlineStr">
        <is>
          <t>42</t>
        </is>
      </c>
      <c r="B53" s="92" t="n">
        <v>1846</v>
      </c>
      <c r="C53" s="92" t="inlineStr">
        <is>
          <t>MITCHEL AUMA</t>
        </is>
      </c>
      <c r="D53" s="19" t="n"/>
      <c r="E53" s="96" t="n">
        <v>2200</v>
      </c>
      <c r="F53" s="97" t="n"/>
      <c r="G53" s="110" t="n"/>
      <c r="H53" s="17" t="n">
        <v>0</v>
      </c>
      <c r="I53" s="17" t="n"/>
      <c r="J53" s="17" t="n"/>
      <c r="K53" s="17" t="n"/>
      <c r="L53" s="17" t="n"/>
      <c r="M53" s="17" t="n"/>
      <c r="N53" s="17" t="n"/>
      <c r="O53" s="17" t="n"/>
      <c r="P53" s="17" t="n">
        <v>800</v>
      </c>
      <c r="Q53" s="17" t="n"/>
      <c r="R53" s="17" t="n"/>
      <c r="S53" s="17" t="n"/>
      <c r="T53" s="1">
        <f>D53+SUM(E53:G53)-SUM(H53:S53)</f>
        <v/>
      </c>
    </row>
    <row r="54">
      <c r="A54" s="15" t="inlineStr">
        <is>
          <t>43</t>
        </is>
      </c>
      <c r="B54" s="92" t="n">
        <v>1851</v>
      </c>
      <c r="C54" s="45" t="inlineStr">
        <is>
          <t>LIZA BROWN</t>
        </is>
      </c>
      <c r="D54" s="19" t="n"/>
      <c r="E54" s="96" t="n">
        <v>2200</v>
      </c>
      <c r="F54" s="97" t="n"/>
      <c r="G54" s="110" t="n"/>
      <c r="H54" s="17" t="n">
        <v>0</v>
      </c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">
        <f>D54+SUM(E54:G54)-SUM(H54:S54)</f>
        <v/>
      </c>
    </row>
    <row r="55">
      <c r="A55" s="15" t="inlineStr">
        <is>
          <t>44</t>
        </is>
      </c>
      <c r="B55" s="92" t="n">
        <v>1858</v>
      </c>
      <c r="C55" s="92" t="inlineStr">
        <is>
          <t>JOY AKINYI</t>
        </is>
      </c>
      <c r="D55" s="19" t="n"/>
      <c r="E55" s="98" t="n">
        <v>2200</v>
      </c>
      <c r="F55" s="99" t="n"/>
      <c r="G55" s="97" t="n"/>
      <c r="H55" s="17" t="n">
        <v>0</v>
      </c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">
        <f>D55+SUM(E55:G55)-SUM(H55:S55)</f>
        <v/>
      </c>
    </row>
    <row r="56">
      <c r="A56" s="15" t="inlineStr">
        <is>
          <t>45</t>
        </is>
      </c>
      <c r="B56" s="92" t="n">
        <v>1912</v>
      </c>
      <c r="C56" s="45" t="inlineStr">
        <is>
          <t>ATIENO   CHERYL</t>
        </is>
      </c>
      <c r="D56" s="19" t="n"/>
      <c r="E56" s="96" t="n"/>
      <c r="F56" s="97" t="n"/>
      <c r="G56" s="110" t="n"/>
      <c r="H56" s="17" t="n">
        <v>0</v>
      </c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">
        <f>D56+SUM(E56:G56)-SUM(H56:S56)</f>
        <v/>
      </c>
    </row>
    <row r="57">
      <c r="A57" s="15" t="inlineStr">
        <is>
          <t>44</t>
        </is>
      </c>
      <c r="B57" s="92" t="n">
        <v>1913</v>
      </c>
      <c r="C57" s="45" t="inlineStr">
        <is>
          <t>ONYANGO  EVLYNE</t>
        </is>
      </c>
      <c r="D57" s="19" t="n"/>
      <c r="E57" s="96" t="n"/>
      <c r="F57" s="97" t="n"/>
      <c r="G57" s="110" t="n"/>
      <c r="H57" s="17" t="n">
        <v>0</v>
      </c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">
        <f>D57+SUM(E57:G57)-SUM(H57:S57)</f>
        <v/>
      </c>
    </row>
    <row r="58">
      <c r="A58" s="15" t="inlineStr">
        <is>
          <t>46</t>
        </is>
      </c>
      <c r="B58" s="92" t="n">
        <v>1914</v>
      </c>
      <c r="C58" s="45" t="inlineStr">
        <is>
          <t>GRACE ATIENO</t>
        </is>
      </c>
      <c r="D58" s="19" t="n"/>
      <c r="E58" s="96" t="n"/>
      <c r="F58" s="97" t="n"/>
      <c r="G58" s="110" t="n"/>
      <c r="H58" s="17" t="n">
        <v>0</v>
      </c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">
        <f>D58+SUM(E58:G58)-SUM(H58:S58)</f>
        <v/>
      </c>
    </row>
    <row r="59">
      <c r="A59" s="15" t="n"/>
      <c r="B59" s="92" t="n"/>
      <c r="C59" s="45" t="n"/>
      <c r="D59" s="16" t="n"/>
      <c r="E59" s="80" t="n"/>
      <c r="F59" s="81" t="n"/>
      <c r="G59" s="110" t="n"/>
      <c r="H59" s="17" t="n">
        <v>0</v>
      </c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" t="n"/>
    </row>
    <row r="60">
      <c r="A60" s="15" t="n"/>
      <c r="B60" s="92" t="n"/>
      <c r="C60" s="45" t="n"/>
      <c r="D60" s="16" t="n"/>
      <c r="E60" s="80" t="n"/>
      <c r="F60" s="81" t="n"/>
      <c r="G60" s="110" t="n"/>
      <c r="H60" s="17" t="n">
        <v>0</v>
      </c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" t="n"/>
    </row>
    <row r="61">
      <c r="A61" s="15" t="n"/>
      <c r="B61" s="92" t="n"/>
      <c r="C61" s="45" t="n"/>
      <c r="D61" s="16" t="n"/>
      <c r="E61" s="96" t="n"/>
      <c r="F61" s="97" t="n"/>
      <c r="G61" s="110" t="n"/>
      <c r="H61" s="17" t="n">
        <v>0</v>
      </c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">
        <f>D61+SUM(E61:G61)-SUM(H61:S61)</f>
        <v/>
      </c>
    </row>
    <row r="62">
      <c r="A62" s="15" t="n"/>
      <c r="B62" s="92" t="n"/>
      <c r="C62" s="45" t="n"/>
      <c r="D62" s="19" t="n"/>
      <c r="E62" s="66" t="n"/>
      <c r="F62" s="67" t="n"/>
      <c r="G62" s="3" t="n"/>
      <c r="H62" s="17" t="n">
        <v>0</v>
      </c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68" t="n"/>
    </row>
    <row r="63">
      <c r="A63" s="15" t="n"/>
      <c r="B63" s="92" t="n"/>
      <c r="C63" s="45" t="n"/>
      <c r="D63" s="19" t="n"/>
      <c r="E63" s="66" t="n"/>
      <c r="F63" s="67" t="n"/>
      <c r="G63" s="3" t="n"/>
      <c r="H63" s="17" t="n">
        <v>0</v>
      </c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68" t="n"/>
    </row>
    <row r="64">
      <c r="A64" s="15" t="n"/>
      <c r="B64" s="92" t="n"/>
      <c r="C64" s="45" t="n"/>
      <c r="D64" s="19" t="n"/>
      <c r="E64" s="66" t="n"/>
      <c r="F64" s="67" t="n"/>
      <c r="G64" s="3" t="n"/>
      <c r="H64" s="17" t="n">
        <v>0</v>
      </c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68" t="n"/>
    </row>
    <row r="65">
      <c r="A65" s="15" t="n"/>
      <c r="B65" s="92" t="n"/>
      <c r="C65" s="45" t="n"/>
      <c r="D65" s="19" t="n"/>
      <c r="E65" s="66" t="n"/>
      <c r="F65" s="67" t="n"/>
      <c r="G65" s="3" t="n"/>
      <c r="H65" s="17" t="n">
        <v>0</v>
      </c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68" t="n"/>
    </row>
    <row r="66">
      <c r="A66" s="15" t="n"/>
      <c r="B66" s="92" t="n"/>
      <c r="C66" s="45" t="n"/>
      <c r="D66" s="19" t="n"/>
      <c r="E66" s="66" t="n"/>
      <c r="F66" s="67" t="n"/>
      <c r="G66" s="3" t="n"/>
      <c r="H66" s="17" t="n">
        <v>0</v>
      </c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68" t="n"/>
    </row>
    <row r="67">
      <c r="A67" s="15" t="n"/>
      <c r="B67" s="92" t="n"/>
      <c r="C67" s="45" t="n"/>
      <c r="D67" s="19" t="n"/>
      <c r="E67" s="66" t="n"/>
      <c r="F67" s="67" t="n"/>
      <c r="G67" s="3" t="n"/>
      <c r="H67" s="17" t="n">
        <v>0</v>
      </c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68" t="n"/>
    </row>
    <row r="68">
      <c r="A68" s="15" t="n"/>
      <c r="B68" s="92" t="n"/>
      <c r="C68" s="45" t="n"/>
      <c r="D68" s="19" t="n"/>
      <c r="E68" s="66" t="n"/>
      <c r="F68" s="67" t="n"/>
      <c r="G68" s="3" t="n"/>
      <c r="H68" s="17" t="n">
        <v>0</v>
      </c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68" t="n"/>
    </row>
    <row r="69">
      <c r="A69" s="15" t="n"/>
      <c r="B69" s="92" t="n"/>
      <c r="C69" s="45" t="n"/>
      <c r="D69" s="19" t="n"/>
      <c r="E69" s="66" t="n"/>
      <c r="F69" s="67" t="n"/>
      <c r="G69" s="3" t="n"/>
      <c r="H69" s="17" t="n">
        <v>0</v>
      </c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68" t="n"/>
    </row>
    <row r="70">
      <c r="A70" s="15" t="n"/>
      <c r="B70" s="92" t="n"/>
      <c r="C70" s="45" t="n"/>
      <c r="D70" s="19" t="n"/>
      <c r="E70" s="66" t="n"/>
      <c r="F70" s="67" t="n"/>
      <c r="G70" s="3" t="n"/>
      <c r="H70" s="17" t="n">
        <v>0</v>
      </c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68" t="n"/>
    </row>
    <row r="71">
      <c r="A71" s="15" t="n"/>
      <c r="B71" s="92" t="n"/>
      <c r="C71" s="45" t="n"/>
      <c r="D71" s="19" t="n"/>
      <c r="E71" s="66" t="n"/>
      <c r="F71" s="67" t="n"/>
      <c r="G71" s="3" t="n"/>
      <c r="H71" s="17" t="n">
        <v>0</v>
      </c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68" t="n"/>
    </row>
    <row r="72">
      <c r="A72" s="15" t="n"/>
      <c r="B72" s="92" t="n"/>
      <c r="C72" s="45" t="n"/>
      <c r="D72" s="19" t="n"/>
      <c r="E72" s="66" t="n"/>
      <c r="F72" s="67" t="n"/>
      <c r="G72" s="3" t="n"/>
      <c r="H72" s="17" t="n">
        <v>0</v>
      </c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68" t="n"/>
    </row>
    <row r="73">
      <c r="A73" s="15" t="n"/>
      <c r="B73" s="92" t="n"/>
      <c r="C73" s="45" t="n"/>
      <c r="D73" s="19" t="n"/>
      <c r="E73" s="66" t="n"/>
      <c r="F73" s="67" t="n"/>
      <c r="G73" s="3" t="n"/>
      <c r="H73" s="17" t="n">
        <v>0</v>
      </c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68" t="n"/>
    </row>
    <row r="74">
      <c r="A74" s="15" t="n"/>
      <c r="B74" s="92" t="n"/>
      <c r="C74" s="45" t="n"/>
      <c r="D74" s="19" t="n"/>
      <c r="E74" s="66" t="n"/>
      <c r="F74" s="67" t="n"/>
      <c r="G74" s="3" t="n"/>
      <c r="H74" s="17" t="n">
        <v>0</v>
      </c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68" t="n"/>
    </row>
    <row r="75">
      <c r="A75" s="15" t="n"/>
      <c r="B75" s="92" t="n"/>
      <c r="C75" s="45" t="n"/>
      <c r="D75" s="19" t="n"/>
      <c r="E75" s="66" t="n"/>
      <c r="F75" s="67" t="n"/>
      <c r="G75" s="3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68" t="n"/>
    </row>
    <row r="76" ht="15.75" customHeight="1" s="101" thickBot="1">
      <c r="A76" s="21" t="n"/>
      <c r="B76" s="21" t="n"/>
      <c r="C76" s="22" t="inlineStr">
        <is>
          <t>TOTAL</t>
        </is>
      </c>
      <c r="D76" s="7">
        <f>SUM(D39:D61)</f>
        <v/>
      </c>
      <c r="E76" s="8">
        <f>SUM(E39:E61)</f>
        <v/>
      </c>
      <c r="F76" s="8">
        <f>SUM(F39:F52)</f>
        <v/>
      </c>
      <c r="G76" s="8">
        <f>SUM(G39:G52)</f>
        <v/>
      </c>
      <c r="H76" s="8">
        <f>SUM(H39:H61)</f>
        <v/>
      </c>
      <c r="I76" s="8">
        <f>SUM(I39:I61)</f>
        <v/>
      </c>
      <c r="J76" s="8">
        <f>SUM(J39:J61)</f>
        <v/>
      </c>
      <c r="K76" s="8">
        <f>SUM(K39:K52)</f>
        <v/>
      </c>
      <c r="L76" s="8">
        <f>SUM(L39:L61)</f>
        <v/>
      </c>
      <c r="M76" s="8">
        <f>SUM(M39:M61)</f>
        <v/>
      </c>
      <c r="N76" s="8">
        <f>SUM(N39:N61)</f>
        <v/>
      </c>
      <c r="O76" s="8">
        <f>SUM(O39:O61)</f>
        <v/>
      </c>
      <c r="P76" s="8">
        <f>SUM(P39:P61)</f>
        <v/>
      </c>
      <c r="Q76" s="8">
        <f>SUM(Q39:Q61)</f>
        <v/>
      </c>
      <c r="R76" s="8">
        <f>SUM(R39:R61)</f>
        <v/>
      </c>
      <c r="S76" s="8">
        <f>SUM(S39:S61)</f>
        <v/>
      </c>
      <c r="T76" s="9">
        <f>SUM(T39:T61)</f>
        <v/>
      </c>
    </row>
    <row r="77">
      <c r="A77" s="33" t="n"/>
      <c r="B77" s="33" t="n"/>
      <c r="C77" s="34" t="n"/>
      <c r="D77" s="30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2" t="n"/>
    </row>
    <row r="78">
      <c r="A78" s="33" t="n"/>
      <c r="B78" s="33" t="n"/>
      <c r="C78" s="34" t="n"/>
      <c r="D78" s="30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2" t="n"/>
    </row>
    <row r="79">
      <c r="A79" s="33" t="n"/>
      <c r="B79" s="33" t="n"/>
      <c r="C79" s="34" t="inlineStr">
        <is>
          <t>TOTAL COLLECTION 2025 (2A)</t>
        </is>
      </c>
      <c r="D79" s="30">
        <f>SUM(H76,I76,J76,K76,L76,M76,N76,O76,P76,Q76,R76)+E79</f>
        <v/>
      </c>
      <c r="E79" s="31" t="n">
        <v>22150</v>
      </c>
      <c r="F79" s="31" t="n">
        <v>7100</v>
      </c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2" t="n"/>
    </row>
    <row r="80">
      <c r="A80" s="33" t="n"/>
      <c r="B80" s="33" t="n"/>
      <c r="C80" s="34" t="n"/>
      <c r="D80" s="30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2" t="n"/>
    </row>
    <row r="81">
      <c r="A81" s="33" t="n"/>
      <c r="B81" s="33" t="n"/>
      <c r="C81" s="34" t="n"/>
      <c r="D81" s="30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2" t="n"/>
    </row>
    <row r="82">
      <c r="A82" s="33" t="n"/>
      <c r="B82" s="33" t="n"/>
      <c r="C82" s="34" t="n"/>
      <c r="D82" s="30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2" t="n"/>
    </row>
    <row r="83">
      <c r="A83" s="33" t="n"/>
      <c r="B83" s="33" t="n"/>
      <c r="C83" s="34" t="n"/>
      <c r="D83" s="30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2" t="n"/>
    </row>
    <row r="84">
      <c r="A84" s="33" t="n"/>
      <c r="B84" s="33" t="n"/>
      <c r="C84" s="34" t="n"/>
      <c r="D84" s="30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2" t="n"/>
    </row>
    <row r="85">
      <c r="A85" s="33" t="n"/>
      <c r="B85" s="33" t="n"/>
      <c r="C85" s="34" t="n"/>
      <c r="D85" s="30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2" t="n"/>
    </row>
    <row r="86">
      <c r="A86" s="33" t="n"/>
      <c r="B86" s="33" t="n"/>
      <c r="C86" s="34" t="n"/>
      <c r="D86" s="30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  <c r="S86" s="31" t="n"/>
      <c r="T86" s="32" t="n"/>
    </row>
    <row r="87">
      <c r="A87" s="33" t="n"/>
      <c r="B87" s="33" t="n"/>
      <c r="C87" s="34" t="n"/>
      <c r="D87" s="30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1" t="n"/>
      <c r="Q87" s="31" t="n"/>
      <c r="R87" s="31" t="n"/>
      <c r="S87" s="31" t="n"/>
      <c r="T87" s="32" t="n"/>
    </row>
    <row r="88">
      <c r="A88" s="33" t="n"/>
      <c r="B88" s="33" t="n"/>
      <c r="C88" s="34" t="n"/>
      <c r="D88" s="30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  <c r="S88" s="31" t="n"/>
      <c r="T88" s="32" t="n"/>
    </row>
    <row r="89">
      <c r="A89" s="33" t="n"/>
      <c r="B89" s="33" t="n"/>
      <c r="C89" s="34" t="n"/>
      <c r="D89" s="30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  <c r="S89" s="31" t="n"/>
      <c r="T89" s="32" t="n"/>
    </row>
    <row r="90">
      <c r="A90" s="33" t="n"/>
      <c r="B90" s="33" t="n"/>
      <c r="C90" s="34" t="n"/>
      <c r="D90" s="30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  <c r="R90" s="31" t="n"/>
      <c r="S90" s="31" t="n"/>
      <c r="T90" s="32" t="n"/>
    </row>
    <row r="91">
      <c r="A91" s="46" t="n"/>
      <c r="B91" s="46" t="n"/>
      <c r="C91" s="47" t="n"/>
      <c r="D91" s="48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50" t="n"/>
    </row>
    <row r="92">
      <c r="A92" s="46" t="n"/>
      <c r="B92" s="46" t="n"/>
      <c r="C92" s="47" t="n"/>
      <c r="D92" s="48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50" t="n"/>
    </row>
    <row r="93">
      <c r="A93" s="46" t="n"/>
      <c r="B93" s="46" t="n"/>
      <c r="C93" s="47" t="n"/>
      <c r="D93" s="48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50" t="n"/>
    </row>
    <row r="94">
      <c r="A94" s="46" t="n"/>
      <c r="B94" s="46" t="n"/>
      <c r="C94" s="47" t="n"/>
      <c r="D94" s="48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50" t="n"/>
    </row>
    <row r="95">
      <c r="A95" s="46" t="n"/>
      <c r="B95" s="46" t="n"/>
      <c r="C95" s="47" t="n"/>
      <c r="D95" s="48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50" t="n"/>
    </row>
    <row r="96">
      <c r="A96" s="46" t="n"/>
      <c r="B96" s="46" t="n"/>
      <c r="C96" s="47" t="n"/>
      <c r="D96" s="48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50" t="n"/>
    </row>
    <row r="97">
      <c r="A97" s="46" t="n"/>
      <c r="B97" s="46" t="n"/>
      <c r="C97" s="47" t="n"/>
      <c r="D97" s="48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50" t="n"/>
    </row>
    <row r="98">
      <c r="A98" s="46" t="n"/>
      <c r="B98" s="46" t="n"/>
      <c r="C98" s="47" t="n"/>
      <c r="D98" s="48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50" t="n"/>
    </row>
    <row r="99" ht="18" customHeight="1" s="101">
      <c r="A99" s="100" t="inlineStr">
        <is>
          <t>KIREMBE SECONDARY SCHOOL.</t>
        </is>
      </c>
    </row>
    <row r="100">
      <c r="A100" s="108" t="inlineStr">
        <is>
          <t>REMEDIAL PAYMENT 2025   FORM 3 C</t>
        </is>
      </c>
      <c r="E100" s="14" t="n"/>
      <c r="H100" s="14" t="inlineStr">
        <is>
          <t>1ST TERM</t>
        </is>
      </c>
      <c r="M100" s="14" t="inlineStr">
        <is>
          <t>2ND TERM</t>
        </is>
      </c>
      <c r="N100" s="14" t="n"/>
      <c r="P100" s="14" t="inlineStr">
        <is>
          <t>3RD TERM</t>
        </is>
      </c>
    </row>
    <row r="101">
      <c r="A101" s="36" t="inlineStr">
        <is>
          <t>NO.</t>
        </is>
      </c>
      <c r="B101" s="85" t="inlineStr">
        <is>
          <t>ADM</t>
        </is>
      </c>
      <c r="C101" t="inlineStr">
        <is>
          <t>NAME</t>
        </is>
      </c>
      <c r="E101" s="103" t="inlineStr">
        <is>
          <t>DEBT</t>
        </is>
      </c>
      <c r="H101" s="104" t="inlineStr">
        <is>
          <t>REPAYMENT</t>
        </is>
      </c>
    </row>
    <row r="102">
      <c r="A102" s="12" t="n"/>
      <c r="B102" s="12" t="n"/>
      <c r="C102" s="13" t="n"/>
      <c r="D102" s="13" t="inlineStr">
        <is>
          <t>ARREAS</t>
        </is>
      </c>
      <c r="E102" s="105" t="n">
        <v>2025</v>
      </c>
      <c r="F102" s="106" t="n"/>
      <c r="G102" s="106" t="n"/>
      <c r="H102" s="13" t="inlineStr">
        <is>
          <t>JAN</t>
        </is>
      </c>
      <c r="I102" s="13" t="inlineStr">
        <is>
          <t>FEB</t>
        </is>
      </c>
      <c r="J102" s="13" t="inlineStr">
        <is>
          <t>MAR</t>
        </is>
      </c>
      <c r="K102" s="13" t="inlineStr">
        <is>
          <t>APR</t>
        </is>
      </c>
      <c r="L102" s="13" t="inlineStr">
        <is>
          <t>MAY</t>
        </is>
      </c>
      <c r="M102" s="13" t="inlineStr">
        <is>
          <t>JUN</t>
        </is>
      </c>
      <c r="N102" s="13" t="inlineStr">
        <is>
          <t>JUL</t>
        </is>
      </c>
      <c r="O102" s="13" t="inlineStr">
        <is>
          <t>AUG</t>
        </is>
      </c>
      <c r="P102" s="13" t="inlineStr">
        <is>
          <t>SEP</t>
        </is>
      </c>
      <c r="Q102" s="13" t="inlineStr">
        <is>
          <t>OCT</t>
        </is>
      </c>
      <c r="R102" s="13" t="inlineStr">
        <is>
          <t>NOV</t>
        </is>
      </c>
      <c r="S102" s="13" t="inlineStr">
        <is>
          <t>PRE PAID</t>
        </is>
      </c>
      <c r="T102" s="13" t="inlineStr">
        <is>
          <t>BALANCE</t>
        </is>
      </c>
    </row>
    <row r="103">
      <c r="A103" s="15" t="n"/>
      <c r="B103" s="44" t="n"/>
      <c r="C103" s="44" t="n"/>
      <c r="D103" s="16">
        <f>D76</f>
        <v/>
      </c>
      <c r="E103" s="98">
        <f>E76</f>
        <v/>
      </c>
      <c r="F103" s="99" t="n"/>
      <c r="G103" s="97" t="n"/>
      <c r="H103" s="17">
        <f>H76</f>
        <v/>
      </c>
      <c r="I103" s="17">
        <f>I76</f>
        <v/>
      </c>
      <c r="J103" s="17">
        <f>J76</f>
        <v/>
      </c>
      <c r="K103" s="17">
        <f>K76</f>
        <v/>
      </c>
      <c r="L103" s="17">
        <f>L76</f>
        <v/>
      </c>
      <c r="M103" s="17">
        <f>M76</f>
        <v/>
      </c>
      <c r="N103" s="17">
        <f>N76</f>
        <v/>
      </c>
      <c r="O103" s="17">
        <f>O76</f>
        <v/>
      </c>
      <c r="P103" s="17">
        <f>P76</f>
        <v/>
      </c>
      <c r="Q103" s="17">
        <f>Q76</f>
        <v/>
      </c>
      <c r="R103" s="17" t="n"/>
      <c r="S103" s="17">
        <f>S76</f>
        <v/>
      </c>
      <c r="T103" s="1">
        <f>T76</f>
        <v/>
      </c>
    </row>
    <row r="104">
      <c r="A104" s="15" t="n"/>
      <c r="B104" s="92" t="n">
        <v>1652</v>
      </c>
      <c r="C104" s="92" t="inlineStr">
        <is>
          <t>BONVENTURE ODHIAMBO</t>
        </is>
      </c>
      <c r="D104" s="16" t="n"/>
      <c r="E104" s="98" t="n">
        <v>2200</v>
      </c>
      <c r="F104" s="99" t="n"/>
      <c r="G104" s="97" t="n"/>
      <c r="H104" s="17" t="n">
        <v>0</v>
      </c>
      <c r="I104" s="17" t="n">
        <v>0</v>
      </c>
      <c r="J104" s="17" t="n">
        <v>100</v>
      </c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">
        <f>D104+SUM(E104:G104)-SUM(H104:S104)</f>
        <v/>
      </c>
    </row>
    <row r="105">
      <c r="A105" s="15" t="inlineStr">
        <is>
          <t>1</t>
        </is>
      </c>
      <c r="B105" s="44" t="n">
        <v>1708</v>
      </c>
      <c r="C105" s="44" t="inlineStr">
        <is>
          <t>JAMES OMONDI</t>
        </is>
      </c>
      <c r="D105" s="16" t="n"/>
      <c r="E105" s="98" t="n">
        <v>2200</v>
      </c>
      <c r="F105" s="99" t="n"/>
      <c r="G105" s="97" t="n"/>
      <c r="H105" s="17" t="n">
        <v>0</v>
      </c>
      <c r="I105" s="17" t="n">
        <v>0</v>
      </c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">
        <f>D105+SUM(E105:G105)-SUM(H105:S105)</f>
        <v/>
      </c>
    </row>
    <row r="106">
      <c r="A106" s="15" t="inlineStr">
        <is>
          <t>2</t>
        </is>
      </c>
      <c r="B106" s="92" t="inlineStr">
        <is>
          <t>1709</t>
        </is>
      </c>
      <c r="C106" s="92" t="inlineStr">
        <is>
          <t>VINNIE NGACHARA</t>
        </is>
      </c>
      <c r="D106" s="16" t="n"/>
      <c r="E106" s="98" t="n">
        <v>2200</v>
      </c>
      <c r="F106" s="99" t="n"/>
      <c r="G106" s="97" t="n"/>
      <c r="H106" s="17" t="n">
        <v>400</v>
      </c>
      <c r="I106" s="91" t="n"/>
      <c r="J106" s="17" t="n">
        <v>400</v>
      </c>
      <c r="K106" s="91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" t="n"/>
    </row>
    <row r="107">
      <c r="A107" s="15" t="inlineStr">
        <is>
          <t>3</t>
        </is>
      </c>
      <c r="B107" s="92" t="n">
        <v>1711</v>
      </c>
      <c r="C107" s="92" t="inlineStr">
        <is>
          <t>RAJAB OMONDI</t>
        </is>
      </c>
      <c r="D107" s="16" t="n"/>
      <c r="E107" s="96" t="n">
        <v>2200</v>
      </c>
      <c r="F107" s="97" t="n"/>
      <c r="G107" s="110" t="n"/>
      <c r="H107" s="17" t="n">
        <v>0</v>
      </c>
      <c r="I107" s="17" t="n">
        <v>0</v>
      </c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">
        <f>D107+SUM(E107:G107)-SUM(H107:S107)</f>
        <v/>
      </c>
    </row>
    <row r="108">
      <c r="A108" s="15" t="inlineStr">
        <is>
          <t>140</t>
        </is>
      </c>
      <c r="B108" s="92" t="n">
        <v>1714</v>
      </c>
      <c r="C108" s="92" t="inlineStr">
        <is>
          <t>JOANES OUKO</t>
        </is>
      </c>
      <c r="D108" s="16" t="n"/>
      <c r="E108" s="96" t="n">
        <v>2200</v>
      </c>
      <c r="F108" s="97" t="n"/>
      <c r="G108" s="110" t="n"/>
      <c r="H108" s="17" t="n">
        <v>0</v>
      </c>
      <c r="I108" s="17" t="n">
        <v>0</v>
      </c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3">
        <f>D108+SUM(E108:G108)-SUM(H108:S108)</f>
        <v/>
      </c>
    </row>
    <row r="109">
      <c r="A109" s="15" t="inlineStr">
        <is>
          <t>5</t>
        </is>
      </c>
      <c r="B109" s="92" t="n">
        <v>1715</v>
      </c>
      <c r="C109" s="92" t="inlineStr">
        <is>
          <t>MICHAEL OCHIENG</t>
        </is>
      </c>
      <c r="D109" s="16" t="n"/>
      <c r="E109" s="96" t="n">
        <v>2200</v>
      </c>
      <c r="F109" s="97" t="n"/>
      <c r="G109" s="110" t="n"/>
      <c r="H109" s="17" t="n">
        <v>0</v>
      </c>
      <c r="I109" s="17" t="n">
        <v>0</v>
      </c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3">
        <f>D109+SUM(E109:G109)-SUM(H109:S109)</f>
        <v/>
      </c>
    </row>
    <row r="110">
      <c r="A110" s="15" t="inlineStr">
        <is>
          <t>6</t>
        </is>
      </c>
      <c r="B110" s="92" t="n">
        <v>1718</v>
      </c>
      <c r="C110" s="54" t="inlineStr">
        <is>
          <t>HILARY OTIENO</t>
        </is>
      </c>
      <c r="D110" s="16" t="n"/>
      <c r="E110" s="80" t="n">
        <v>2200</v>
      </c>
      <c r="F110" s="81" t="n"/>
      <c r="G110" s="110" t="n"/>
      <c r="H110" s="17" t="n">
        <v>0</v>
      </c>
      <c r="I110" s="17" t="n">
        <v>0</v>
      </c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3">
        <f>D110+SUM(E110:G110)-SUM(H110:S110)</f>
        <v/>
      </c>
    </row>
    <row r="111">
      <c r="A111" s="15" t="inlineStr">
        <is>
          <t>7</t>
        </is>
      </c>
      <c r="B111" s="92" t="n">
        <v>1719</v>
      </c>
      <c r="C111" s="92" t="inlineStr">
        <is>
          <t>TONY OTIENO</t>
        </is>
      </c>
      <c r="D111" s="16" t="n"/>
      <c r="E111" s="80" t="n">
        <v>2200</v>
      </c>
      <c r="F111" s="81" t="n"/>
      <c r="G111" s="110" t="n"/>
      <c r="H111" s="17" t="n">
        <v>0</v>
      </c>
      <c r="I111" s="17" t="n">
        <v>0</v>
      </c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3">
        <f>D111+SUM(E111:G111)-SUM(H111:S111)</f>
        <v/>
      </c>
    </row>
    <row r="112">
      <c r="A112" s="15" t="inlineStr">
        <is>
          <t>8</t>
        </is>
      </c>
      <c r="B112" s="92" t="n">
        <v>1721</v>
      </c>
      <c r="C112" s="92" t="inlineStr">
        <is>
          <t>FIDEL CLINTON</t>
        </is>
      </c>
      <c r="D112" s="16" t="n"/>
      <c r="E112" s="82" t="n">
        <v>2200</v>
      </c>
      <c r="F112" s="83" t="n"/>
      <c r="G112" s="84" t="n"/>
      <c r="H112" s="17" t="n">
        <v>0</v>
      </c>
      <c r="I112" s="17" t="n">
        <v>0</v>
      </c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3">
        <f>D112+SUM(E112:G112)-SUM(H112:S112)</f>
        <v/>
      </c>
    </row>
    <row r="113">
      <c r="A113" s="15" t="inlineStr">
        <is>
          <t>9</t>
        </is>
      </c>
      <c r="B113" s="92" t="n">
        <v>1724</v>
      </c>
      <c r="C113" s="45" t="inlineStr">
        <is>
          <t>DANIEL OMINDE</t>
        </is>
      </c>
      <c r="D113" s="16" t="n"/>
      <c r="E113" s="96" t="n">
        <v>2200</v>
      </c>
      <c r="F113" s="97" t="n"/>
      <c r="G113" s="110" t="n"/>
      <c r="H113" s="17" t="n">
        <v>0</v>
      </c>
      <c r="I113" s="17" t="n">
        <v>0</v>
      </c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3" t="n">
        <v>9050</v>
      </c>
    </row>
    <row r="114">
      <c r="A114" s="15" t="inlineStr">
        <is>
          <t>10</t>
        </is>
      </c>
      <c r="B114" s="92" t="n">
        <v>1725</v>
      </c>
      <c r="C114" s="92" t="inlineStr">
        <is>
          <t>MICHAEL SULE</t>
        </is>
      </c>
      <c r="D114" s="16" t="n"/>
      <c r="E114" s="96" t="n">
        <v>2200</v>
      </c>
      <c r="F114" s="97" t="n"/>
      <c r="G114" s="110" t="n"/>
      <c r="H114" s="17" t="n"/>
      <c r="I114" s="17" t="n">
        <v>0</v>
      </c>
      <c r="J114" s="42" t="n">
        <v>500</v>
      </c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3">
        <f>D114+SUM(E114:G114)-SUM(H114:S114)</f>
        <v/>
      </c>
    </row>
    <row r="115">
      <c r="A115" s="15" t="inlineStr">
        <is>
          <t>11</t>
        </is>
      </c>
      <c r="B115" s="92" t="n">
        <v>1726</v>
      </c>
      <c r="C115" s="92" t="inlineStr">
        <is>
          <t>MACLAREN KYALO</t>
        </is>
      </c>
      <c r="D115" s="16" t="n"/>
      <c r="E115" s="96" t="n">
        <v>2200</v>
      </c>
      <c r="F115" s="97" t="n"/>
      <c r="G115" s="110" t="n"/>
      <c r="H115" s="17" t="n">
        <v>0</v>
      </c>
      <c r="I115" s="17" t="n">
        <v>0</v>
      </c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3">
        <f>D115+SUM(E115:G115)-SUM(H115:S115)</f>
        <v/>
      </c>
    </row>
    <row r="116">
      <c r="A116" s="15" t="inlineStr">
        <is>
          <t>12</t>
        </is>
      </c>
      <c r="B116" s="92" t="n">
        <v>1728</v>
      </c>
      <c r="C116" s="92" t="inlineStr">
        <is>
          <t>PATRICK OCHIENG</t>
        </is>
      </c>
      <c r="D116" s="16" t="n"/>
      <c r="E116" s="96" t="n">
        <v>2200</v>
      </c>
      <c r="F116" s="97" t="n"/>
      <c r="G116" s="110" t="n"/>
      <c r="H116" s="17" t="n">
        <v>0</v>
      </c>
      <c r="I116" s="17" t="n">
        <v>0</v>
      </c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3">
        <f>D116+SUM(E116:G116)-SUM(H116:S116)</f>
        <v/>
      </c>
    </row>
    <row r="117">
      <c r="A117" s="15" t="inlineStr">
        <is>
          <t>14</t>
        </is>
      </c>
      <c r="B117" s="92" t="n">
        <v>1730</v>
      </c>
      <c r="C117" s="92" t="inlineStr">
        <is>
          <t>EMMANUEL ODHIAMBO</t>
        </is>
      </c>
      <c r="D117" s="16" t="n"/>
      <c r="E117" s="98" t="n">
        <v>2200</v>
      </c>
      <c r="F117" s="99" t="n"/>
      <c r="G117" s="97" t="n"/>
      <c r="H117" s="17" t="n">
        <v>0</v>
      </c>
      <c r="I117" s="17" t="n">
        <v>0</v>
      </c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">
        <f>D117+SUM(E117:G117)-SUM(H117:S117)</f>
        <v/>
      </c>
    </row>
    <row r="118">
      <c r="A118" s="15" t="inlineStr">
        <is>
          <t>`</t>
        </is>
      </c>
      <c r="B118" s="92" t="n">
        <v>1731</v>
      </c>
      <c r="C118" s="92" t="inlineStr">
        <is>
          <t>EMMANUEL OCHIENG</t>
        </is>
      </c>
      <c r="D118" s="16" t="n"/>
      <c r="E118" s="98" t="n">
        <v>2200</v>
      </c>
      <c r="F118" s="99" t="n"/>
      <c r="G118" s="97" t="n"/>
      <c r="H118" s="17" t="n">
        <v>0</v>
      </c>
      <c r="I118" s="17" t="n">
        <v>0</v>
      </c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">
        <f>D118+SUM(E118:G118)-SUM(H118:S118)</f>
        <v/>
      </c>
    </row>
    <row r="119">
      <c r="A119" s="15" t="inlineStr">
        <is>
          <t>16</t>
        </is>
      </c>
      <c r="B119" s="92" t="n">
        <v>1732</v>
      </c>
      <c r="C119" s="92" t="inlineStr">
        <is>
          <t>MOURICE OUMA</t>
        </is>
      </c>
      <c r="D119" s="16" t="n"/>
      <c r="E119" s="96" t="n">
        <v>2200</v>
      </c>
      <c r="F119" s="97" t="n"/>
      <c r="G119" s="110" t="n"/>
      <c r="H119" s="17" t="n">
        <v>0</v>
      </c>
      <c r="I119" s="17" t="n">
        <v>0</v>
      </c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0">
        <f>D119+SUM(E119:G119)-SUM(H119:S119)</f>
        <v/>
      </c>
    </row>
    <row r="120">
      <c r="A120" s="15" t="inlineStr">
        <is>
          <t>17</t>
        </is>
      </c>
      <c r="B120" s="92" t="n">
        <v>1733</v>
      </c>
      <c r="C120" s="92" t="inlineStr">
        <is>
          <t>BILL CLINTON</t>
        </is>
      </c>
      <c r="D120" s="16" t="n"/>
      <c r="E120" s="96" t="n">
        <v>2200</v>
      </c>
      <c r="F120" s="97" t="n"/>
      <c r="G120" s="110" t="n"/>
      <c r="H120" s="17" t="n">
        <v>0</v>
      </c>
      <c r="I120" s="17" t="n">
        <v>0</v>
      </c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35">
        <f>D120+SUM(E120:G120)-SUM(H120:S120)</f>
        <v/>
      </c>
    </row>
    <row r="121" ht="15.75" customHeight="1" s="101">
      <c r="A121" s="15" t="inlineStr">
        <is>
          <t>18</t>
        </is>
      </c>
      <c r="B121" s="44" t="n">
        <v>1734</v>
      </c>
      <c r="C121" s="44" t="inlineStr">
        <is>
          <t>EVANCE ODHIAMBO</t>
        </is>
      </c>
      <c r="D121" s="16" t="n"/>
      <c r="E121" s="96" t="n">
        <v>2200</v>
      </c>
      <c r="F121" s="97" t="n"/>
      <c r="G121" s="110" t="n"/>
      <c r="H121" s="17" t="n">
        <v>0</v>
      </c>
      <c r="I121" s="17" t="n">
        <v>0</v>
      </c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">
        <f>D121+SUM(E121:G121)-SUM(H121:S121)</f>
        <v/>
      </c>
    </row>
    <row r="122">
      <c r="A122" s="15" t="inlineStr">
        <is>
          <t>19</t>
        </is>
      </c>
      <c r="B122" s="92" t="n">
        <v>1735</v>
      </c>
      <c r="C122" s="92" t="inlineStr">
        <is>
          <t>BROLING OBONG'O</t>
        </is>
      </c>
      <c r="D122" s="16" t="n">
        <v>700</v>
      </c>
      <c r="E122" s="96" t="n">
        <v>2200</v>
      </c>
      <c r="F122" s="97" t="n"/>
      <c r="G122" s="110" t="n"/>
      <c r="H122" s="17" t="n">
        <v>500</v>
      </c>
      <c r="I122" s="17" t="n">
        <v>0</v>
      </c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">
        <f>D122+SUM(E122:G122)-SUM(H122:S122)</f>
        <v/>
      </c>
    </row>
    <row r="123">
      <c r="A123" s="15" t="inlineStr">
        <is>
          <t>20</t>
        </is>
      </c>
      <c r="B123" s="92" t="n">
        <v>1736</v>
      </c>
      <c r="C123" s="92" t="inlineStr">
        <is>
          <t>HENRY OKETCH</t>
        </is>
      </c>
      <c r="D123" s="16" t="n"/>
      <c r="E123" s="96" t="n">
        <v>2200</v>
      </c>
      <c r="F123" s="97" t="n"/>
      <c r="G123" s="110" t="n"/>
      <c r="H123" s="17" t="n">
        <v>0</v>
      </c>
      <c r="I123" s="17" t="n">
        <v>0</v>
      </c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">
        <f>D123+SUM(E123:G123)-SUM(H123:S123)</f>
        <v/>
      </c>
    </row>
    <row r="124">
      <c r="A124" s="15" t="inlineStr">
        <is>
          <t>21</t>
        </is>
      </c>
      <c r="B124" s="92" t="n">
        <v>1738</v>
      </c>
      <c r="C124" s="92" t="inlineStr">
        <is>
          <t>RENSON ODHIAMBO</t>
        </is>
      </c>
      <c r="D124" s="16" t="n"/>
      <c r="E124" s="96" t="n">
        <v>2200</v>
      </c>
      <c r="F124" s="97" t="n"/>
      <c r="G124" s="110" t="n"/>
      <c r="H124" s="17" t="n">
        <v>0</v>
      </c>
      <c r="I124" s="17" t="n">
        <v>0</v>
      </c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1">
        <f>D124+SUM(E124:G124)-SUM(H124:S124)</f>
        <v/>
      </c>
    </row>
    <row r="125" ht="15.75" customHeight="1" s="101">
      <c r="A125" s="15" t="inlineStr">
        <is>
          <t>22</t>
        </is>
      </c>
      <c r="B125" s="92" t="n">
        <v>1739</v>
      </c>
      <c r="C125" s="92" t="inlineStr">
        <is>
          <t>DANCAN OWINO</t>
        </is>
      </c>
      <c r="D125" s="16" t="n">
        <v>1600</v>
      </c>
      <c r="E125" s="96" t="n">
        <v>2200</v>
      </c>
      <c r="F125" s="97" t="n"/>
      <c r="G125" s="110" t="n"/>
      <c r="H125" s="17" t="n">
        <v>1000</v>
      </c>
      <c r="I125" s="17" t="n">
        <v>0</v>
      </c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">
        <f>D125+SUM(E125:G125)-SUM(H125:S125)</f>
        <v/>
      </c>
    </row>
    <row r="126">
      <c r="A126" s="15" t="inlineStr">
        <is>
          <t>23</t>
        </is>
      </c>
      <c r="B126" s="92" t="n">
        <v>1741</v>
      </c>
      <c r="C126" s="92" t="inlineStr">
        <is>
          <t>ABRAHAM  OTIENO</t>
        </is>
      </c>
      <c r="D126" s="16" t="n"/>
      <c r="E126" s="96" t="n">
        <v>2200</v>
      </c>
      <c r="F126" s="97" t="n"/>
      <c r="G126" s="110" t="n"/>
      <c r="H126" s="17" t="n">
        <v>0</v>
      </c>
      <c r="I126" s="17" t="n">
        <v>0</v>
      </c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">
        <f>D126+SUM(E126:G126)-SUM(H126:S126)</f>
        <v/>
      </c>
    </row>
    <row r="127">
      <c r="A127" s="15" t="inlineStr">
        <is>
          <t>24</t>
        </is>
      </c>
      <c r="B127" s="92" t="n">
        <v>1742</v>
      </c>
      <c r="C127" s="92" t="inlineStr">
        <is>
          <t>ALPHONCES OCHIENG</t>
        </is>
      </c>
      <c r="D127" s="16" t="n"/>
      <c r="E127" s="98" t="n">
        <v>2200</v>
      </c>
      <c r="F127" s="99" t="n"/>
      <c r="G127" s="97" t="n"/>
      <c r="H127" s="17" t="n">
        <v>0</v>
      </c>
      <c r="I127" s="17" t="n">
        <v>0</v>
      </c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">
        <f>D127+SUM(E127:G127)-SUM(H127:S127)</f>
        <v/>
      </c>
    </row>
    <row r="128">
      <c r="A128" s="15" t="inlineStr">
        <is>
          <t>25</t>
        </is>
      </c>
      <c r="B128" s="92" t="n">
        <v>1744</v>
      </c>
      <c r="C128" s="54" t="inlineStr">
        <is>
          <t>JAMES ODONGO</t>
        </is>
      </c>
      <c r="D128" s="16" t="n"/>
      <c r="E128" s="96" t="n">
        <v>2200</v>
      </c>
      <c r="F128" s="97" t="n"/>
      <c r="G128" s="110" t="n"/>
      <c r="H128" s="17" t="n">
        <v>0</v>
      </c>
      <c r="I128" s="17" t="n">
        <v>0</v>
      </c>
      <c r="J128" s="17" t="n"/>
      <c r="K128" s="17" t="n"/>
      <c r="L128" s="37" t="n"/>
      <c r="M128" s="17" t="n"/>
      <c r="N128" s="17" t="n"/>
      <c r="O128" s="17" t="n"/>
      <c r="P128" s="17" t="n"/>
      <c r="Q128" s="17" t="n"/>
      <c r="R128" s="17" t="n"/>
      <c r="S128" s="17" t="n"/>
      <c r="T128" s="1">
        <f>D128+SUM(E128:G128)-SUM(H128:S128)</f>
        <v/>
      </c>
    </row>
    <row r="129">
      <c r="A129" s="15" t="inlineStr">
        <is>
          <t>26</t>
        </is>
      </c>
      <c r="B129" s="92" t="inlineStr">
        <is>
          <t>1745</t>
        </is>
      </c>
      <c r="C129" s="92" t="inlineStr">
        <is>
          <t>JOSEPH JUMA</t>
        </is>
      </c>
      <c r="D129" s="16" t="n"/>
      <c r="E129" s="96" t="n">
        <v>2200</v>
      </c>
      <c r="F129" s="97" t="n"/>
      <c r="G129" s="3" t="n"/>
      <c r="H129" s="17" t="n">
        <v>800</v>
      </c>
      <c r="I129" s="91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11" t="n"/>
    </row>
    <row r="130">
      <c r="A130" s="15" t="inlineStr">
        <is>
          <t>27</t>
        </is>
      </c>
      <c r="B130" s="92" t="n">
        <v>1746</v>
      </c>
      <c r="C130" s="92" t="inlineStr">
        <is>
          <t>BYRON OCHIENG</t>
        </is>
      </c>
      <c r="D130" s="16" t="n"/>
      <c r="E130" s="96" t="n">
        <v>2200</v>
      </c>
      <c r="F130" s="97" t="n"/>
      <c r="G130" s="3" t="n"/>
      <c r="H130" s="17" t="n">
        <v>0</v>
      </c>
      <c r="I130" s="17" t="n">
        <v>0</v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11">
        <f>D130+SUM(E130:G130)-SUM(H130:S130)</f>
        <v/>
      </c>
    </row>
    <row r="131">
      <c r="A131" s="15" t="inlineStr">
        <is>
          <t>28</t>
        </is>
      </c>
      <c r="B131" s="92" t="n">
        <v>1749</v>
      </c>
      <c r="C131" s="92" t="inlineStr">
        <is>
          <t>REGAN OTIENO</t>
        </is>
      </c>
      <c r="D131" s="2" t="n"/>
      <c r="E131" s="96" t="n">
        <v>2200</v>
      </c>
      <c r="F131" s="97" t="n"/>
      <c r="G131" s="3" t="n"/>
      <c r="H131" s="17" t="n">
        <v>800</v>
      </c>
      <c r="I131" s="17" t="n">
        <v>0</v>
      </c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">
        <f>D131+SUM(E131:G131)-SUM(H131:S131)</f>
        <v/>
      </c>
    </row>
    <row r="132" ht="15.75" customHeight="1" s="101" thickBot="1">
      <c r="A132" s="15" t="n"/>
      <c r="B132" s="5" t="n"/>
      <c r="C132" s="6" t="inlineStr">
        <is>
          <t>TOTAL</t>
        </is>
      </c>
      <c r="D132" s="7">
        <f>SUM(D103:D131)</f>
        <v/>
      </c>
      <c r="E132" s="8">
        <f>SUM(E103:E131)</f>
        <v/>
      </c>
      <c r="F132" s="8">
        <f>SUM(F103:F124)</f>
        <v/>
      </c>
      <c r="G132" s="8">
        <f>SUM(G103:G124)</f>
        <v/>
      </c>
      <c r="H132" s="8">
        <f>SUM(H103:H131)</f>
        <v/>
      </c>
      <c r="I132" s="8">
        <f>SUM(I103:I131)</f>
        <v/>
      </c>
      <c r="J132" s="8">
        <f>SUM(J103:J131)</f>
        <v/>
      </c>
      <c r="K132" s="8">
        <f>SUM(K103:K131)</f>
        <v/>
      </c>
      <c r="L132" s="8">
        <f>SUM(L103:L131)</f>
        <v/>
      </c>
      <c r="M132" s="8">
        <f>SUM(M103:M131)</f>
        <v/>
      </c>
      <c r="N132" s="8">
        <f>SUM(N103:N131)</f>
        <v/>
      </c>
      <c r="O132" s="8">
        <f>SUM(O103:O131)</f>
        <v/>
      </c>
      <c r="P132" s="8">
        <f>SUM(P103:P131)</f>
        <v/>
      </c>
      <c r="Q132" s="8">
        <f>SUM(Q103:Q131)</f>
        <v/>
      </c>
      <c r="R132" s="8" t="n"/>
      <c r="S132" s="8">
        <f>SUM(S103:S131)</f>
        <v/>
      </c>
      <c r="T132" s="9">
        <f>SUM(T103:T131)</f>
        <v/>
      </c>
    </row>
    <row r="133" ht="18" customHeight="1" s="101">
      <c r="A133" s="100" t="inlineStr">
        <is>
          <t>KIREMBE SECONDARY SCHOOL.</t>
        </is>
      </c>
    </row>
    <row r="134">
      <c r="A134" s="109" t="inlineStr">
        <is>
          <t>REMEDIAL PAYMENT  (FORM 2 C) 2025</t>
        </is>
      </c>
      <c r="E134" s="14" t="n"/>
      <c r="H134" s="14" t="inlineStr">
        <is>
          <t>1ST TERM</t>
        </is>
      </c>
      <c r="M134" s="14" t="inlineStr">
        <is>
          <t>2ND TERM</t>
        </is>
      </c>
      <c r="N134" s="14" t="n"/>
      <c r="P134" s="14" t="inlineStr">
        <is>
          <t>3RD TERM</t>
        </is>
      </c>
    </row>
    <row r="135">
      <c r="A135" s="36" t="inlineStr">
        <is>
          <t>NO.</t>
        </is>
      </c>
      <c r="B135" s="85" t="inlineStr">
        <is>
          <t>ADM</t>
        </is>
      </c>
      <c r="C135" t="inlineStr">
        <is>
          <t>NAME</t>
        </is>
      </c>
      <c r="E135" s="103" t="inlineStr">
        <is>
          <t>DEBT</t>
        </is>
      </c>
      <c r="H135" s="104" t="inlineStr">
        <is>
          <t>REPAYMENT</t>
        </is>
      </c>
    </row>
    <row r="136">
      <c r="A136" s="12" t="n"/>
      <c r="B136" s="12" t="n"/>
      <c r="C136" s="13" t="n"/>
      <c r="D136" s="13" t="inlineStr">
        <is>
          <t>ARREAS</t>
        </is>
      </c>
      <c r="E136" s="105" t="n">
        <v>2025</v>
      </c>
      <c r="F136" s="106" t="n"/>
      <c r="G136" s="106" t="n"/>
      <c r="H136" s="13" t="inlineStr">
        <is>
          <t>JAN</t>
        </is>
      </c>
      <c r="I136" s="13" t="inlineStr">
        <is>
          <t>FEB</t>
        </is>
      </c>
      <c r="J136" s="13" t="inlineStr">
        <is>
          <t>MAR</t>
        </is>
      </c>
      <c r="K136" s="13" t="inlineStr">
        <is>
          <t>APR</t>
        </is>
      </c>
      <c r="L136" s="13" t="inlineStr">
        <is>
          <t>MAY</t>
        </is>
      </c>
      <c r="M136" s="13" t="inlineStr">
        <is>
          <t>JUN</t>
        </is>
      </c>
      <c r="N136" s="13" t="inlineStr">
        <is>
          <t>JUL</t>
        </is>
      </c>
      <c r="O136" s="13" t="inlineStr">
        <is>
          <t>AUG</t>
        </is>
      </c>
      <c r="P136" s="13" t="inlineStr">
        <is>
          <t>SEP</t>
        </is>
      </c>
      <c r="Q136" s="13" t="inlineStr">
        <is>
          <t>OCT</t>
        </is>
      </c>
      <c r="R136" s="13" t="inlineStr">
        <is>
          <t>NOV</t>
        </is>
      </c>
      <c r="S136" s="13" t="inlineStr">
        <is>
          <t>PRE PAID</t>
        </is>
      </c>
      <c r="T136" s="13" t="inlineStr">
        <is>
          <t>BALANCE</t>
        </is>
      </c>
    </row>
    <row r="137">
      <c r="A137" s="15" t="n"/>
      <c r="B137" s="92" t="n"/>
      <c r="C137" s="24" t="n"/>
      <c r="D137" s="28">
        <f>D132</f>
        <v/>
      </c>
      <c r="E137" s="102">
        <f>E132</f>
        <v/>
      </c>
      <c r="F137" s="99" t="n"/>
      <c r="G137" s="97" t="n"/>
      <c r="H137" s="26">
        <f>H132</f>
        <v/>
      </c>
      <c r="I137" s="26">
        <f>I132</f>
        <v/>
      </c>
      <c r="J137" s="26">
        <f>J132</f>
        <v/>
      </c>
      <c r="K137" s="26">
        <f>K132</f>
        <v/>
      </c>
      <c r="L137" s="26">
        <f>L132</f>
        <v/>
      </c>
      <c r="M137" s="26">
        <f>M132</f>
        <v/>
      </c>
      <c r="N137" s="26">
        <f>N132</f>
        <v/>
      </c>
      <c r="O137" s="26">
        <f>O132</f>
        <v/>
      </c>
      <c r="P137" s="26">
        <f>P132</f>
        <v/>
      </c>
      <c r="Q137" s="26">
        <f>Q132</f>
        <v/>
      </c>
      <c r="R137" s="26" t="n"/>
      <c r="S137" s="26">
        <f>S132</f>
        <v/>
      </c>
      <c r="T137" s="29">
        <f>T132</f>
        <v/>
      </c>
    </row>
    <row r="138">
      <c r="A138" s="15" t="inlineStr">
        <is>
          <t>29</t>
        </is>
      </c>
      <c r="B138" s="92" t="n">
        <v>1751</v>
      </c>
      <c r="C138" s="92" t="inlineStr">
        <is>
          <t>FELIX OKINYO</t>
        </is>
      </c>
      <c r="D138" s="16" t="n"/>
      <c r="E138" s="98" t="n">
        <v>2200</v>
      </c>
      <c r="F138" s="99" t="n"/>
      <c r="G138" s="97" t="n"/>
      <c r="H138" s="17" t="n">
        <v>0</v>
      </c>
      <c r="I138" s="17" t="n">
        <v>0</v>
      </c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">
        <f>D138+SUM(E138:G138)-SUM(H138:S138)</f>
        <v/>
      </c>
    </row>
    <row r="139">
      <c r="A139" s="15" t="inlineStr">
        <is>
          <t>30</t>
        </is>
      </c>
      <c r="B139" s="92" t="n">
        <v>1753</v>
      </c>
      <c r="C139" s="54" t="inlineStr">
        <is>
          <t>DANIEL OTIENO</t>
        </is>
      </c>
      <c r="D139" s="16" t="n"/>
      <c r="E139" s="96" t="n">
        <v>2200</v>
      </c>
      <c r="F139" s="97" t="n"/>
      <c r="G139" s="110" t="n"/>
      <c r="H139" s="17" t="n">
        <v>0</v>
      </c>
      <c r="I139" s="17" t="n">
        <v>0</v>
      </c>
      <c r="J139" s="37" t="n">
        <v>1000</v>
      </c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">
        <f>D139+SUM(E139:G139)-SUM(H139:S139)</f>
        <v/>
      </c>
    </row>
    <row r="140">
      <c r="A140" s="15" t="inlineStr">
        <is>
          <t>31</t>
        </is>
      </c>
      <c r="B140" s="92" t="n">
        <v>1755</v>
      </c>
      <c r="C140" s="92" t="inlineStr">
        <is>
          <t>SAMUEL OMBOGO</t>
        </is>
      </c>
      <c r="D140" s="16" t="n"/>
      <c r="E140" s="96" t="n">
        <v>2200</v>
      </c>
      <c r="F140" s="97" t="n"/>
      <c r="G140" s="110" t="n"/>
      <c r="H140" s="17" t="n">
        <v>0</v>
      </c>
      <c r="I140" s="17" t="n">
        <v>0</v>
      </c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">
        <f>D140+SUM(E140:G140)-SUM(H140:S140)</f>
        <v/>
      </c>
    </row>
    <row r="141">
      <c r="A141" s="15" t="inlineStr">
        <is>
          <t>32</t>
        </is>
      </c>
      <c r="B141" s="92" t="inlineStr">
        <is>
          <t>1761</t>
        </is>
      </c>
      <c r="C141" s="92" t="inlineStr">
        <is>
          <t>DAVID OMONDI</t>
        </is>
      </c>
      <c r="D141" s="16" t="n"/>
      <c r="E141" s="96" t="n">
        <v>2200</v>
      </c>
      <c r="F141" s="97" t="n"/>
      <c r="G141" s="110" t="n"/>
      <c r="H141" s="17" t="n"/>
      <c r="I141" s="91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" t="n"/>
    </row>
    <row r="142" ht="16.5" customHeight="1" s="101">
      <c r="A142" s="15" t="inlineStr">
        <is>
          <t>33</t>
        </is>
      </c>
      <c r="B142" s="92" t="n">
        <v>1762</v>
      </c>
      <c r="C142" s="92" t="inlineStr">
        <is>
          <t>SILVESTER ODUOR</t>
        </is>
      </c>
      <c r="D142" s="16" t="n"/>
      <c r="E142" s="96" t="n">
        <v>2200</v>
      </c>
      <c r="F142" s="97" t="n"/>
      <c r="G142" s="110" t="n"/>
      <c r="H142" s="17" t="n">
        <v>0</v>
      </c>
      <c r="I142" s="17" t="n">
        <v>0</v>
      </c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3">
        <f>D142+SUM(E142:G142)-SUM(H142:S142)</f>
        <v/>
      </c>
    </row>
    <row r="143">
      <c r="A143" s="15" t="inlineStr">
        <is>
          <t>34</t>
        </is>
      </c>
      <c r="B143" s="92" t="n">
        <v>1763</v>
      </c>
      <c r="C143" s="92" t="inlineStr">
        <is>
          <t>DICKSON OMINDE</t>
        </is>
      </c>
      <c r="D143" s="16" t="n"/>
      <c r="E143" s="96" t="n">
        <v>2200</v>
      </c>
      <c r="F143" s="97" t="n"/>
      <c r="G143" s="110" t="n"/>
      <c r="H143" s="17" t="n">
        <v>0</v>
      </c>
      <c r="I143" s="17" t="n">
        <v>0</v>
      </c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3">
        <f>D143+SUM(E143:G143)-SUM(H143:S143)</f>
        <v/>
      </c>
    </row>
    <row r="144">
      <c r="A144" s="15" t="inlineStr">
        <is>
          <t>35</t>
        </is>
      </c>
      <c r="B144" s="92" t="n">
        <v>1764</v>
      </c>
      <c r="C144" s="92" t="inlineStr">
        <is>
          <t>WILLIAM OKELO</t>
        </is>
      </c>
      <c r="D144" s="16" t="n"/>
      <c r="E144" s="96" t="n">
        <v>2200</v>
      </c>
      <c r="F144" s="97" t="n"/>
      <c r="G144" s="110" t="n"/>
      <c r="H144" s="17" t="n">
        <v>0</v>
      </c>
      <c r="I144" s="17" t="n">
        <v>0</v>
      </c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3">
        <f>D144+SUM(E144:G144)-SUM(H144:S144)</f>
        <v/>
      </c>
    </row>
    <row r="145">
      <c r="A145" s="15" t="inlineStr">
        <is>
          <t>36</t>
        </is>
      </c>
      <c r="B145" s="92" t="n">
        <v>1765</v>
      </c>
      <c r="C145" s="92" t="inlineStr">
        <is>
          <t>SHADRACK OWINO</t>
        </is>
      </c>
      <c r="D145" s="16" t="n"/>
      <c r="E145" s="98" t="n">
        <v>2200</v>
      </c>
      <c r="F145" s="99" t="n"/>
      <c r="G145" s="97" t="n"/>
      <c r="H145" s="17" t="n">
        <v>0</v>
      </c>
      <c r="I145" s="17" t="n">
        <v>0</v>
      </c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3">
        <f>D145+SUM(E145:G145)-SUM(H145:S145)</f>
        <v/>
      </c>
    </row>
    <row r="146">
      <c r="A146" s="15" t="inlineStr">
        <is>
          <t>37</t>
        </is>
      </c>
      <c r="B146" s="92" t="n">
        <v>1768</v>
      </c>
      <c r="C146" s="92" t="inlineStr">
        <is>
          <t>FELIX OKOTH</t>
        </is>
      </c>
      <c r="D146" s="16" t="n"/>
      <c r="E146" s="98" t="n">
        <v>2200</v>
      </c>
      <c r="F146" s="99" t="n"/>
      <c r="G146" s="97" t="n"/>
      <c r="H146" s="17" t="n">
        <v>0</v>
      </c>
      <c r="I146" s="17" t="n">
        <v>0</v>
      </c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3">
        <f>D146+SUM(E146:G146)-SUM(H146:S146)</f>
        <v/>
      </c>
    </row>
    <row r="147">
      <c r="A147" s="15" t="inlineStr">
        <is>
          <t>38</t>
        </is>
      </c>
      <c r="B147" s="92" t="inlineStr">
        <is>
          <t>1771</t>
        </is>
      </c>
      <c r="C147" s="54" t="inlineStr">
        <is>
          <t>JOSEPH OMONDI</t>
        </is>
      </c>
      <c r="D147" s="16" t="n"/>
      <c r="E147" s="98" t="n">
        <v>2200</v>
      </c>
      <c r="F147" s="99" t="n"/>
      <c r="G147" s="97" t="n"/>
      <c r="H147" s="17" t="n"/>
      <c r="I147" s="91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3" t="n"/>
    </row>
    <row r="148">
      <c r="A148" s="15" t="inlineStr">
        <is>
          <t>39</t>
        </is>
      </c>
      <c r="B148" s="92" t="n">
        <v>1775</v>
      </c>
      <c r="C148" s="92" t="inlineStr">
        <is>
          <t xml:space="preserve">ABDALAH HASAN </t>
        </is>
      </c>
      <c r="D148" s="16" t="n"/>
      <c r="E148" s="96" t="n">
        <v>2200</v>
      </c>
      <c r="F148" s="97" t="n"/>
      <c r="G148" s="110" t="n"/>
      <c r="H148" s="17" t="n">
        <v>0</v>
      </c>
      <c r="I148" s="17" t="n">
        <v>0</v>
      </c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3">
        <f>D148+SUM(E148:G148)-SUM(H148:S148)</f>
        <v/>
      </c>
    </row>
    <row r="149">
      <c r="A149" s="15" t="inlineStr">
        <is>
          <t>40</t>
        </is>
      </c>
      <c r="B149" s="92" t="n">
        <v>1782</v>
      </c>
      <c r="C149" s="92" t="inlineStr">
        <is>
          <t>BYRON OTIENO</t>
        </is>
      </c>
      <c r="D149" s="16" t="n"/>
      <c r="E149" s="96" t="n">
        <v>2200</v>
      </c>
      <c r="F149" s="97" t="n"/>
      <c r="G149" s="110" t="n"/>
      <c r="H149" s="17" t="n">
        <v>0</v>
      </c>
      <c r="I149" s="17" t="n">
        <v>0</v>
      </c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3">
        <f>D149+SUM(E149:G149)-SUM(H149:S149)</f>
        <v/>
      </c>
    </row>
    <row r="150">
      <c r="A150" s="15" t="inlineStr">
        <is>
          <t>42</t>
        </is>
      </c>
      <c r="B150" s="92" t="n">
        <v>1785</v>
      </c>
      <c r="C150" s="92" t="inlineStr">
        <is>
          <t>SHADRACK MAHALA</t>
        </is>
      </c>
      <c r="D150" s="16" t="n"/>
      <c r="E150" s="96" t="n">
        <v>2200</v>
      </c>
      <c r="F150" s="97" t="n"/>
      <c r="G150" s="110" t="n"/>
      <c r="H150" s="17" t="n">
        <v>0</v>
      </c>
      <c r="I150" s="17" t="n">
        <v>0</v>
      </c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3">
        <f>D150+SUM(E150:G150)-SUM(H150:S150)</f>
        <v/>
      </c>
    </row>
    <row r="151">
      <c r="A151" s="15" t="inlineStr">
        <is>
          <t>43</t>
        </is>
      </c>
      <c r="B151" s="38" t="n">
        <v>1788</v>
      </c>
      <c r="C151" s="38" t="inlineStr">
        <is>
          <t>SHADRACK OLUOCH</t>
        </is>
      </c>
      <c r="D151" s="16" t="n"/>
      <c r="E151" s="96" t="n">
        <v>2200</v>
      </c>
      <c r="F151" s="97" t="n"/>
      <c r="G151" s="110" t="n"/>
      <c r="H151" s="42" t="n">
        <v>0</v>
      </c>
      <c r="I151" s="17" t="n">
        <v>0</v>
      </c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3">
        <f>D151+SUM(E151:G151)-SUM(H151:S151)</f>
        <v/>
      </c>
    </row>
    <row r="152" ht="18.75" customHeight="1" s="101">
      <c r="A152" s="15" t="inlineStr">
        <is>
          <t>45</t>
        </is>
      </c>
      <c r="B152" s="92" t="n">
        <v>1792</v>
      </c>
      <c r="C152" s="92" t="inlineStr">
        <is>
          <t>BRAVELY     OTIENO</t>
        </is>
      </c>
      <c r="D152" s="16" t="n">
        <v>1000</v>
      </c>
      <c r="E152" s="98" t="n">
        <v>2200</v>
      </c>
      <c r="F152" s="99" t="n"/>
      <c r="G152" s="97" t="n"/>
      <c r="H152" s="42" t="n"/>
      <c r="I152" s="17" t="n">
        <v>0</v>
      </c>
      <c r="J152" s="17" t="n">
        <v>1000</v>
      </c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">
        <f>D152+SUM(E152:G152)-SUM(H152:S152)</f>
        <v/>
      </c>
    </row>
    <row r="153">
      <c r="A153" s="15" t="inlineStr">
        <is>
          <t>46</t>
        </is>
      </c>
      <c r="B153" s="92" t="n">
        <v>1796</v>
      </c>
      <c r="C153" s="92" t="inlineStr">
        <is>
          <t>GODFREY HARRYSON</t>
        </is>
      </c>
      <c r="D153" s="16" t="n"/>
      <c r="E153" s="98" t="n">
        <v>2200</v>
      </c>
      <c r="F153" s="99" t="n"/>
      <c r="G153" s="97" t="n"/>
      <c r="H153" s="42" t="n">
        <v>0</v>
      </c>
      <c r="I153" s="17" t="n">
        <v>0</v>
      </c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">
        <f>D153+SUM(E153:G153)-SUM(H153:S153)</f>
        <v/>
      </c>
    </row>
    <row r="154">
      <c r="A154" s="15" t="inlineStr">
        <is>
          <t>47</t>
        </is>
      </c>
      <c r="B154" s="92" t="n">
        <v>1795</v>
      </c>
      <c r="C154" s="92" t="inlineStr">
        <is>
          <t>BRIAN OTIENO</t>
        </is>
      </c>
      <c r="D154" s="16" t="n"/>
      <c r="E154" s="98" t="n">
        <v>2200</v>
      </c>
      <c r="F154" s="99" t="n"/>
      <c r="G154" s="97" t="n"/>
      <c r="H154" s="42" t="n">
        <v>0</v>
      </c>
      <c r="I154" s="17" t="n">
        <v>0</v>
      </c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0">
        <f>D154+SUM(E154:G154)-SUM(H154:S154)</f>
        <v/>
      </c>
    </row>
    <row r="155">
      <c r="A155" s="15" t="inlineStr">
        <is>
          <t>48</t>
        </is>
      </c>
      <c r="B155" s="92" t="n">
        <v>1798</v>
      </c>
      <c r="C155" s="92" t="inlineStr">
        <is>
          <t>FELIX OCHIENG</t>
        </is>
      </c>
      <c r="D155" s="16" t="n">
        <v>1800</v>
      </c>
      <c r="E155" s="96" t="n">
        <v>2200</v>
      </c>
      <c r="F155" s="97" t="n"/>
      <c r="G155" s="110" t="n"/>
      <c r="H155" s="42" t="n"/>
      <c r="I155" s="17" t="n">
        <v>0</v>
      </c>
      <c r="J155" s="17" t="n">
        <v>200</v>
      </c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35">
        <f>D155+SUM(E155:G155)-SUM(H155:S155)</f>
        <v/>
      </c>
    </row>
    <row r="156">
      <c r="A156" s="15" t="inlineStr">
        <is>
          <t>49</t>
        </is>
      </c>
      <c r="B156" s="92" t="n">
        <v>1800</v>
      </c>
      <c r="C156" s="92" t="inlineStr">
        <is>
          <t>SHELDON KEEN</t>
        </is>
      </c>
      <c r="D156" s="16" t="n"/>
      <c r="E156" s="96" t="n">
        <v>2200</v>
      </c>
      <c r="F156" s="97" t="n"/>
      <c r="G156" s="110" t="n"/>
      <c r="H156" s="42" t="n">
        <v>0</v>
      </c>
      <c r="I156" s="17" t="n">
        <v>0</v>
      </c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35">
        <f>D156+SUM(E156:G156)-SUM(H156:S156)</f>
        <v/>
      </c>
    </row>
    <row r="157">
      <c r="A157" s="15" t="inlineStr">
        <is>
          <t>50</t>
        </is>
      </c>
      <c r="B157" s="92" t="n">
        <v>1801</v>
      </c>
      <c r="C157" s="92" t="inlineStr">
        <is>
          <t>MIGY ISAC</t>
        </is>
      </c>
      <c r="D157" s="16" t="n"/>
      <c r="E157" s="96" t="n">
        <v>2200</v>
      </c>
      <c r="F157" s="97" t="n"/>
      <c r="G157" s="110" t="n"/>
      <c r="H157" s="42" t="n">
        <v>0</v>
      </c>
      <c r="I157" s="17" t="n">
        <v>0</v>
      </c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">
        <f>D157+SUM(E157:G157)-SUM(H157:S157)</f>
        <v/>
      </c>
    </row>
    <row r="158">
      <c r="A158" s="15" t="inlineStr">
        <is>
          <t>51</t>
        </is>
      </c>
      <c r="B158" s="92" t="n">
        <v>1803</v>
      </c>
      <c r="C158" s="92" t="inlineStr">
        <is>
          <t>HILARY CLINTON OGOMA</t>
        </is>
      </c>
      <c r="D158" s="16" t="n"/>
      <c r="E158" s="96" t="n">
        <v>2200</v>
      </c>
      <c r="F158" s="97" t="n"/>
      <c r="G158" s="110" t="n"/>
      <c r="H158" s="42" t="n">
        <v>0</v>
      </c>
      <c r="I158" s="17" t="n">
        <v>0</v>
      </c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">
        <f>D158+SUM(E158:G158)-SUM(H158:S158)</f>
        <v/>
      </c>
    </row>
    <row r="159" customFormat="1" s="59">
      <c r="A159" s="60" t="inlineStr">
        <is>
          <t>54</t>
        </is>
      </c>
      <c r="B159" s="45" t="n">
        <v>1808</v>
      </c>
      <c r="C159" s="45" t="inlineStr">
        <is>
          <t>PAUL OBAMA ODOGO</t>
        </is>
      </c>
      <c r="D159" s="16" t="n">
        <v>2000</v>
      </c>
      <c r="E159" s="107" t="n">
        <v>2200</v>
      </c>
      <c r="F159" s="99" t="n"/>
      <c r="G159" s="97" t="n"/>
      <c r="H159" s="42" t="n">
        <v>1000</v>
      </c>
      <c r="I159" s="17" t="n">
        <v>0</v>
      </c>
      <c r="J159" s="57" t="n">
        <v>200</v>
      </c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62">
        <f>D159+SUM(E159:G159)-SUM(H159:S159)</f>
        <v/>
      </c>
    </row>
    <row r="160">
      <c r="A160" s="15" t="inlineStr">
        <is>
          <t>55</t>
        </is>
      </c>
      <c r="B160" s="92" t="n">
        <v>1810</v>
      </c>
      <c r="C160" s="45" t="inlineStr">
        <is>
          <t>JEREMIA ODHIAMBO</t>
        </is>
      </c>
      <c r="D160" s="16" t="n"/>
      <c r="E160" s="96" t="n">
        <v>2200</v>
      </c>
      <c r="F160" s="97" t="n"/>
      <c r="G160" s="110" t="n"/>
      <c r="H160" s="42" t="n">
        <v>0</v>
      </c>
      <c r="I160" s="17" t="n">
        <v>0</v>
      </c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">
        <f>D160+SUM(E160:G160)-SUM(H160:S160)</f>
        <v/>
      </c>
    </row>
    <row r="161">
      <c r="A161" s="15" t="inlineStr">
        <is>
          <t>56</t>
        </is>
      </c>
      <c r="B161" s="92" t="n">
        <v>1813</v>
      </c>
      <c r="C161" s="45" t="inlineStr">
        <is>
          <t>CHARLSE OPIYO</t>
        </is>
      </c>
      <c r="D161" s="16" t="n"/>
      <c r="E161" s="96" t="n">
        <v>2200</v>
      </c>
      <c r="F161" s="97" t="n"/>
      <c r="G161" s="110" t="n"/>
      <c r="H161" s="42" t="n">
        <v>0</v>
      </c>
      <c r="I161" s="17" t="n">
        <v>0</v>
      </c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">
        <f>D161+SUM(E161:G161)-SUM(H161:S161)</f>
        <v/>
      </c>
    </row>
    <row r="162">
      <c r="A162" s="15" t="inlineStr">
        <is>
          <t>57</t>
        </is>
      </c>
      <c r="B162" s="92" t="n">
        <v>1821</v>
      </c>
      <c r="C162" s="45" t="inlineStr">
        <is>
          <t>JOSEPH MASINDE</t>
        </is>
      </c>
      <c r="D162" s="16" t="n"/>
      <c r="E162" s="96" t="n">
        <v>2200</v>
      </c>
      <c r="F162" s="97" t="n"/>
      <c r="G162" s="3" t="n"/>
      <c r="H162" s="42" t="n">
        <v>0</v>
      </c>
      <c r="I162" s="17" t="n">
        <v>0</v>
      </c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11">
        <f>D162+SUM(E162:G162)-SUM(H162:S162)</f>
        <v/>
      </c>
    </row>
    <row r="163">
      <c r="A163" s="15" t="inlineStr">
        <is>
          <t>58</t>
        </is>
      </c>
      <c r="B163" s="92" t="n">
        <v>1829</v>
      </c>
      <c r="C163" s="45" t="inlineStr">
        <is>
          <t>BRITON ODIWUOR</t>
        </is>
      </c>
      <c r="D163" s="16" t="n"/>
      <c r="E163" s="96" t="n">
        <v>2200</v>
      </c>
      <c r="F163" s="97" t="n"/>
      <c r="G163" s="3" t="n"/>
      <c r="H163" s="42" t="n">
        <v>0</v>
      </c>
      <c r="I163" s="17" t="n">
        <v>0</v>
      </c>
      <c r="J163" s="4" t="n">
        <v>800</v>
      </c>
      <c r="K163" s="4" t="n"/>
      <c r="L163" s="4" t="n"/>
      <c r="M163" s="4" t="n"/>
      <c r="N163" s="4" t="n"/>
      <c r="O163" s="4" t="n"/>
      <c r="P163" s="4" t="n">
        <v>600</v>
      </c>
      <c r="Q163" s="4" t="n"/>
      <c r="R163" s="4" t="n"/>
      <c r="S163" s="4" t="n"/>
      <c r="T163" s="11">
        <f>D163+SUM(E163:G163)-SUM(H163:S163)</f>
        <v/>
      </c>
    </row>
    <row r="164">
      <c r="A164" s="15" t="inlineStr">
        <is>
          <t>59</t>
        </is>
      </c>
      <c r="B164" s="92" t="n">
        <v>1837</v>
      </c>
      <c r="C164" s="45" t="inlineStr">
        <is>
          <t>OTIENO OCHIENG BEZYLE</t>
        </is>
      </c>
      <c r="D164" s="16" t="n"/>
      <c r="E164" s="96" t="n">
        <v>2200</v>
      </c>
      <c r="F164" s="97" t="n"/>
      <c r="G164" s="3" t="n"/>
      <c r="H164" s="42" t="n">
        <v>0</v>
      </c>
      <c r="I164" s="17" t="n">
        <v>0</v>
      </c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11">
        <f>D164+SUM(E164:G164)-SUM(H164:S164)</f>
        <v/>
      </c>
    </row>
    <row r="165">
      <c r="A165" s="15" t="inlineStr">
        <is>
          <t>60</t>
        </is>
      </c>
      <c r="B165" s="92" t="n">
        <v>1838</v>
      </c>
      <c r="C165" s="45" t="inlineStr">
        <is>
          <t>OPOT FELIX OTIENO</t>
        </is>
      </c>
      <c r="D165" s="16" t="n"/>
      <c r="E165" s="96" t="n">
        <v>2200</v>
      </c>
      <c r="F165" s="97" t="n"/>
      <c r="G165" s="3" t="n"/>
      <c r="H165" s="42" t="n">
        <v>0</v>
      </c>
      <c r="I165" s="17" t="n">
        <v>0</v>
      </c>
      <c r="J165" s="4" t="n"/>
      <c r="K165" s="58" t="n"/>
      <c r="L165" s="4" t="n"/>
      <c r="M165" s="4" t="n"/>
      <c r="N165" s="4" t="n"/>
      <c r="O165" s="4" t="n"/>
      <c r="P165" s="4" t="n">
        <v>600</v>
      </c>
      <c r="Q165" s="4" t="n"/>
      <c r="R165" s="4" t="n"/>
      <c r="S165" s="4" t="n"/>
      <c r="T165" s="11">
        <f>D165+SUM(E165:G165)-SUM(H165:S165)</f>
        <v/>
      </c>
    </row>
    <row r="166">
      <c r="A166" s="15" t="inlineStr">
        <is>
          <t>61</t>
        </is>
      </c>
      <c r="B166" s="92" t="n">
        <v>1842</v>
      </c>
      <c r="C166" s="45" t="inlineStr">
        <is>
          <t>TREVOR OGUTU</t>
        </is>
      </c>
      <c r="D166" s="16" t="n"/>
      <c r="E166" s="96" t="n">
        <v>2200</v>
      </c>
      <c r="F166" s="97" t="n"/>
      <c r="G166" s="3" t="n"/>
      <c r="H166" s="42" t="n">
        <v>0</v>
      </c>
      <c r="I166" s="17" t="n">
        <v>0</v>
      </c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11">
        <f>D166+SUM(E166:G166)-SUM(H166:S166)</f>
        <v/>
      </c>
    </row>
    <row r="167">
      <c r="A167" s="15" t="inlineStr">
        <is>
          <t>62</t>
        </is>
      </c>
      <c r="B167" s="92" t="n">
        <v>1854</v>
      </c>
      <c r="C167" s="45" t="inlineStr">
        <is>
          <t>JOHN PAUL RAILA</t>
        </is>
      </c>
      <c r="D167" s="16" t="n"/>
      <c r="E167" s="96" t="n">
        <v>2200</v>
      </c>
      <c r="F167" s="97" t="n"/>
      <c r="G167" s="3" t="n"/>
      <c r="H167" s="42" t="n">
        <v>0</v>
      </c>
      <c r="I167" s="17" t="n">
        <v>0</v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11">
        <f>D167+SUM(E167:G167)-SUM(H167:S167)</f>
        <v/>
      </c>
    </row>
    <row r="168">
      <c r="A168" s="15" t="inlineStr">
        <is>
          <t>63</t>
        </is>
      </c>
      <c r="B168" s="92" t="inlineStr">
        <is>
          <t>1855</t>
        </is>
      </c>
      <c r="C168" s="45" t="inlineStr">
        <is>
          <t>MICHAEL OMONDI</t>
        </is>
      </c>
      <c r="D168" s="16" t="n"/>
      <c r="E168" s="96" t="n">
        <v>800</v>
      </c>
      <c r="F168" s="97" t="n"/>
      <c r="G168" s="3" t="n"/>
      <c r="H168" s="4" t="n">
        <v>200</v>
      </c>
      <c r="I168" s="91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11" t="n"/>
    </row>
    <row r="169">
      <c r="A169" s="15" t="inlineStr">
        <is>
          <t>64</t>
        </is>
      </c>
      <c r="B169" s="92" t="n">
        <v>1856</v>
      </c>
      <c r="C169" s="45" t="inlineStr">
        <is>
          <t>HUMPHREY OKOTH</t>
        </is>
      </c>
      <c r="D169" s="16" t="n"/>
      <c r="E169" s="96" t="n">
        <v>2200</v>
      </c>
      <c r="F169" s="97" t="n"/>
      <c r="G169" s="3" t="n"/>
      <c r="H169" s="4" t="n"/>
      <c r="I169" s="17" t="n">
        <v>0</v>
      </c>
      <c r="J169" s="4" t="n"/>
      <c r="K169" s="4" t="n"/>
      <c r="L169" s="4" t="n"/>
      <c r="M169" s="4" t="n"/>
      <c r="N169" s="4" t="n"/>
      <c r="O169" s="4" t="n"/>
      <c r="P169" s="4" t="n">
        <v>450</v>
      </c>
      <c r="Q169" s="4" t="n"/>
      <c r="R169" s="4" t="n"/>
      <c r="S169" s="4" t="n"/>
      <c r="T169" s="11">
        <f>D169+SUM(E169:G169)-SUM(H169:S169)</f>
        <v/>
      </c>
    </row>
    <row r="170">
      <c r="A170" s="15" t="inlineStr">
        <is>
          <t>65</t>
        </is>
      </c>
      <c r="B170" s="92" t="n">
        <v>1859</v>
      </c>
      <c r="C170" s="45" t="inlineStr">
        <is>
          <t>HENRY ODHIAMBO</t>
        </is>
      </c>
      <c r="D170" s="2" t="n"/>
      <c r="E170" s="96" t="n">
        <v>2200</v>
      </c>
      <c r="F170" s="97" t="n"/>
      <c r="G170" s="3" t="n"/>
      <c r="H170" s="4" t="n">
        <v>0</v>
      </c>
      <c r="I170" s="17" t="n">
        <v>0</v>
      </c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11">
        <f>D170+SUM(E170:G170)-SUM(H170:S170)</f>
        <v/>
      </c>
    </row>
    <row r="171">
      <c r="A171" s="15" t="inlineStr">
        <is>
          <t>66</t>
        </is>
      </c>
      <c r="B171" s="92" t="n">
        <v>1891</v>
      </c>
      <c r="C171" s="45" t="inlineStr">
        <is>
          <t>LABAN ODHIAMBO</t>
        </is>
      </c>
      <c r="D171" s="2" t="n"/>
      <c r="E171" s="96" t="n">
        <v>2200</v>
      </c>
      <c r="F171" s="97" t="n"/>
      <c r="G171" s="3" t="n"/>
      <c r="H171" s="4" t="n">
        <v>0</v>
      </c>
      <c r="I171" s="17" t="n">
        <v>0</v>
      </c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11">
        <f>D171+SUM(E171:G171)-SUM(H171:S171)</f>
        <v/>
      </c>
    </row>
    <row r="172" ht="15.75" customHeight="1" s="101" thickBot="1">
      <c r="A172" s="5" t="n"/>
      <c r="B172" s="5" t="n"/>
      <c r="C172" s="6" t="inlineStr">
        <is>
          <t>TOTAL</t>
        </is>
      </c>
      <c r="D172" s="7">
        <f>SUM(D137:D162)</f>
        <v/>
      </c>
      <c r="E172" s="8">
        <f>SUM(E137:E162)</f>
        <v/>
      </c>
      <c r="F172" s="8">
        <f>SUM(F137:F158)</f>
        <v/>
      </c>
      <c r="G172" s="8">
        <f>SUM(G137:G158)</f>
        <v/>
      </c>
      <c r="H172" s="8">
        <f>SUM(H137:H162)</f>
        <v/>
      </c>
      <c r="I172" s="8">
        <f>SUM(I137:I162)</f>
        <v/>
      </c>
      <c r="J172" s="8">
        <f>SUM(J137:J162)</f>
        <v/>
      </c>
      <c r="K172" s="8">
        <f>SUM(K138:K162)</f>
        <v/>
      </c>
      <c r="L172" s="8">
        <f>SUM(L137:L162)</f>
        <v/>
      </c>
      <c r="M172" s="8">
        <f>SUM(M137:M162)</f>
        <v/>
      </c>
      <c r="N172" s="8">
        <f>SUM(N137:N162)</f>
        <v/>
      </c>
      <c r="O172" s="8">
        <f>SUM(O137:O162)</f>
        <v/>
      </c>
      <c r="P172" s="8">
        <f>SUM(P137:P162)</f>
        <v/>
      </c>
      <c r="Q172" s="8">
        <f>SUM(Q137:Q162)</f>
        <v/>
      </c>
      <c r="R172" s="8" t="n"/>
      <c r="S172" s="8">
        <f>SUM(S137:S162)</f>
        <v/>
      </c>
      <c r="T172" s="9">
        <f>SUM(T137:T162)</f>
        <v/>
      </c>
    </row>
    <row r="176">
      <c r="C176" t="inlineStr">
        <is>
          <t>TOTAL COLLECTION 2025 (2C)</t>
        </is>
      </c>
      <c r="E176" s="75">
        <f>SUM(H172,I172,J172,K172,L172,M172,N172,O172,P172,Q172,R172)-D79</f>
        <v/>
      </c>
    </row>
  </sheetData>
  <mergeCells count="127">
    <mergeCell ref="E139:F139"/>
    <mergeCell ref="E13:G13"/>
    <mergeCell ref="E129:F129"/>
    <mergeCell ref="E118:G118"/>
    <mergeCell ref="E142:F142"/>
    <mergeCell ref="A35:G35"/>
    <mergeCell ref="A134:D134"/>
    <mergeCell ref="E40:G40"/>
    <mergeCell ref="E131:F131"/>
    <mergeCell ref="E51:F51"/>
    <mergeCell ref="E156:F156"/>
    <mergeCell ref="E171:F171"/>
    <mergeCell ref="E104:G104"/>
    <mergeCell ref="E128:F128"/>
    <mergeCell ref="E155:F155"/>
    <mergeCell ref="H3:S3"/>
    <mergeCell ref="E148:F148"/>
    <mergeCell ref="E157:F157"/>
    <mergeCell ref="E166:F166"/>
    <mergeCell ref="E49:F49"/>
    <mergeCell ref="E27:F27"/>
    <mergeCell ref="E119:F119"/>
    <mergeCell ref="E163:F163"/>
    <mergeCell ref="E116:F116"/>
    <mergeCell ref="E106:G106"/>
    <mergeCell ref="E168:F168"/>
    <mergeCell ref="E113:F113"/>
    <mergeCell ref="E135:G135"/>
    <mergeCell ref="E115:F115"/>
    <mergeCell ref="E53:F53"/>
    <mergeCell ref="A2:D2"/>
    <mergeCell ref="E138:G138"/>
    <mergeCell ref="E122:F122"/>
    <mergeCell ref="E14:F14"/>
    <mergeCell ref="E30:G30"/>
    <mergeCell ref="E48:F48"/>
    <mergeCell ref="E6:G6"/>
    <mergeCell ref="E161:F161"/>
    <mergeCell ref="E170:F170"/>
    <mergeCell ref="H101:S101"/>
    <mergeCell ref="E159:G159"/>
    <mergeCell ref="A1:G1"/>
    <mergeCell ref="E47:G47"/>
    <mergeCell ref="E145:G145"/>
    <mergeCell ref="H135:S135"/>
    <mergeCell ref="E43:G43"/>
    <mergeCell ref="E26:F26"/>
    <mergeCell ref="E103:G103"/>
    <mergeCell ref="E124:F124"/>
    <mergeCell ref="A133:G133"/>
    <mergeCell ref="E120:F120"/>
    <mergeCell ref="E24:G24"/>
    <mergeCell ref="E16:F16"/>
    <mergeCell ref="E25:F25"/>
    <mergeCell ref="E153:G153"/>
    <mergeCell ref="E18:F18"/>
    <mergeCell ref="E58:F58"/>
    <mergeCell ref="E50:F50"/>
    <mergeCell ref="E121:F121"/>
    <mergeCell ref="E137:G137"/>
    <mergeCell ref="E130:F130"/>
    <mergeCell ref="A100:D100"/>
    <mergeCell ref="E151:F151"/>
    <mergeCell ref="E160:F160"/>
    <mergeCell ref="E141:F141"/>
    <mergeCell ref="E52:F52"/>
    <mergeCell ref="E123:F123"/>
    <mergeCell ref="E150:F150"/>
    <mergeCell ref="E44:F44"/>
    <mergeCell ref="E107:F107"/>
    <mergeCell ref="E20:F20"/>
    <mergeCell ref="E143:F143"/>
    <mergeCell ref="E149:F149"/>
    <mergeCell ref="A36:D36"/>
    <mergeCell ref="E136:G136"/>
    <mergeCell ref="E158:F158"/>
    <mergeCell ref="E114:F114"/>
    <mergeCell ref="E22:G22"/>
    <mergeCell ref="E15:F15"/>
    <mergeCell ref="E108:F108"/>
    <mergeCell ref="E46:F46"/>
    <mergeCell ref="E37:G37"/>
    <mergeCell ref="E102:G102"/>
    <mergeCell ref="E12:G12"/>
    <mergeCell ref="E61:F61"/>
    <mergeCell ref="E21:G21"/>
    <mergeCell ref="E162:F162"/>
    <mergeCell ref="E144:F144"/>
    <mergeCell ref="E57:F57"/>
    <mergeCell ref="E54:F54"/>
    <mergeCell ref="E127:G127"/>
    <mergeCell ref="E125:F125"/>
    <mergeCell ref="E7:F7"/>
    <mergeCell ref="E23:G23"/>
    <mergeCell ref="E41:F41"/>
    <mergeCell ref="E164:F164"/>
    <mergeCell ref="E4:G4"/>
    <mergeCell ref="E147:G147"/>
    <mergeCell ref="E56:F56"/>
    <mergeCell ref="E42:F42"/>
    <mergeCell ref="E165:F165"/>
    <mergeCell ref="E17:F17"/>
    <mergeCell ref="E105:G105"/>
    <mergeCell ref="E126:F126"/>
    <mergeCell ref="E140:F140"/>
    <mergeCell ref="E10:F10"/>
    <mergeCell ref="E154:G154"/>
    <mergeCell ref="E19:F19"/>
    <mergeCell ref="E28:F28"/>
    <mergeCell ref="E101:G101"/>
    <mergeCell ref="H37:S37"/>
    <mergeCell ref="E9:F9"/>
    <mergeCell ref="E167:F167"/>
    <mergeCell ref="E146:G146"/>
    <mergeCell ref="E11:F11"/>
    <mergeCell ref="E45:F45"/>
    <mergeCell ref="E169:F169"/>
    <mergeCell ref="E3:G3"/>
    <mergeCell ref="A99:G99"/>
    <mergeCell ref="E117:G117"/>
    <mergeCell ref="E55:G55"/>
    <mergeCell ref="E5:G5"/>
    <mergeCell ref="E39:G39"/>
    <mergeCell ref="E29:G29"/>
    <mergeCell ref="E109:F109"/>
    <mergeCell ref="E38:G38"/>
    <mergeCell ref="E152:G152"/>
  </mergeCells>
  <pageMargins left="0.7" right="0.7" top="0.75" bottom="0.75" header="0.3" footer="0.3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D132"/>
  <sheetViews>
    <sheetView topLeftCell="C11" zoomScale="110" zoomScaleNormal="110" workbookViewId="0">
      <selection activeCell="AD16" sqref="AD16"/>
    </sheetView>
  </sheetViews>
  <sheetFormatPr baseColWidth="8" defaultRowHeight="15"/>
  <cols>
    <col hidden="1" width="9.140625" customWidth="1" style="101" min="1" max="2"/>
    <col width="4.7109375" customWidth="1" style="101" min="3" max="3"/>
    <col width="5.140625" customWidth="1" style="101" min="4" max="4"/>
    <col width="22.85546875" customWidth="1" style="101" min="5" max="5"/>
    <col width="10.140625" customWidth="1" style="101" min="6" max="6"/>
    <col width="10.42578125" customWidth="1" style="101" min="7" max="7"/>
    <col hidden="1" width="0.140625" customWidth="1" style="101" min="8" max="8"/>
    <col hidden="1" width="9.140625" customWidth="1" style="101" min="9" max="11"/>
    <col hidden="1" width="8.7109375" customWidth="1" style="101" min="12" max="12"/>
    <col hidden="1" width="9.140625" customWidth="1" style="101" min="13" max="16"/>
    <col hidden="1" width="43.5703125" customWidth="1" style="101" min="17" max="17"/>
    <col width="8.5703125" customWidth="1" style="101" min="18" max="19"/>
    <col width="9" customWidth="1" style="101" min="20" max="20"/>
    <col width="8.5703125" customWidth="1" style="101" min="21" max="23"/>
    <col width="9.140625" customWidth="1" style="101" min="24" max="25"/>
    <col width="10" customWidth="1" style="101" min="26" max="26"/>
    <col hidden="1" width="9.85546875" customWidth="1" style="101" min="27" max="27"/>
    <col width="6.7109375" customWidth="1" style="101" min="28" max="28"/>
    <col width="8.28515625" customWidth="1" style="101" min="29" max="29"/>
    <col width="13" customWidth="1" style="101" min="30" max="30"/>
    <col width="9.140625" customWidth="1" style="101" min="31" max="51"/>
    <col width="9.140625" customWidth="1" style="101" min="52" max="16384"/>
  </cols>
  <sheetData>
    <row r="1" ht="18" customHeight="1" s="101">
      <c r="C1" s="100" t="inlineStr">
        <is>
          <t>KIREMBE SECONDARY SCHOOL.</t>
        </is>
      </c>
    </row>
    <row r="2">
      <c r="C2" s="108" t="inlineStr">
        <is>
          <t xml:space="preserve"> FEE REGISTER(LUNCH)2025 FORM 3 A</t>
        </is>
      </c>
      <c r="G2" s="14" t="n"/>
      <c r="R2" s="14" t="n"/>
      <c r="S2" s="14" t="inlineStr">
        <is>
          <t>1ST TERM</t>
        </is>
      </c>
      <c r="T2" s="14" t="n"/>
      <c r="U2" s="14" t="n"/>
      <c r="V2" s="14" t="inlineStr">
        <is>
          <t>2ND TERM</t>
        </is>
      </c>
      <c r="W2" s="14" t="n"/>
      <c r="X2" s="14" t="n"/>
      <c r="Y2" s="14" t="n"/>
      <c r="Z2" s="14" t="inlineStr">
        <is>
          <t>3RD TERM</t>
        </is>
      </c>
    </row>
    <row r="3">
      <c r="C3" s="36" t="inlineStr">
        <is>
          <t>NO.</t>
        </is>
      </c>
      <c r="D3" s="36" t="inlineStr">
        <is>
          <t>ADM</t>
        </is>
      </c>
      <c r="E3" t="inlineStr">
        <is>
          <t>NAME</t>
        </is>
      </c>
      <c r="G3" s="103" t="inlineStr">
        <is>
          <t>DEBT</t>
        </is>
      </c>
      <c r="R3" s="104" t="inlineStr">
        <is>
          <t>REPAYMENT</t>
        </is>
      </c>
    </row>
    <row r="4">
      <c r="C4" s="12" t="n"/>
      <c r="D4" s="12" t="n"/>
      <c r="E4" s="13" t="n"/>
      <c r="F4" s="13" t="inlineStr">
        <is>
          <t>ARREAS</t>
        </is>
      </c>
      <c r="G4" s="105" t="n">
        <v>2025</v>
      </c>
      <c r="H4" s="106" t="n"/>
      <c r="I4" s="106" t="n"/>
      <c r="J4" s="106" t="n"/>
      <c r="K4" s="106" t="n"/>
      <c r="L4" s="106" t="n"/>
      <c r="M4" s="106" t="n"/>
      <c r="N4" s="106" t="n"/>
      <c r="O4" s="106" t="n"/>
      <c r="P4" s="106" t="n"/>
      <c r="Q4" s="106" t="n"/>
      <c r="R4" s="13" t="inlineStr">
        <is>
          <t>JAN</t>
        </is>
      </c>
      <c r="S4" s="13" t="inlineStr">
        <is>
          <t>FEB</t>
        </is>
      </c>
      <c r="T4" s="13" t="inlineStr">
        <is>
          <t>MAR</t>
        </is>
      </c>
      <c r="U4" s="13" t="inlineStr">
        <is>
          <t>APR</t>
        </is>
      </c>
      <c r="V4" s="13" t="inlineStr">
        <is>
          <t>MAY</t>
        </is>
      </c>
      <c r="W4" s="13" t="inlineStr">
        <is>
          <t>JUN</t>
        </is>
      </c>
      <c r="X4" s="13" t="inlineStr">
        <is>
          <t>JUL</t>
        </is>
      </c>
      <c r="Y4" s="13" t="inlineStr">
        <is>
          <t>AUG</t>
        </is>
      </c>
      <c r="Z4" s="13" t="inlineStr">
        <is>
          <t>SEP</t>
        </is>
      </c>
      <c r="AA4" s="13" t="inlineStr">
        <is>
          <t>OCT</t>
        </is>
      </c>
      <c r="AB4" s="13" t="inlineStr">
        <is>
          <t>NOV</t>
        </is>
      </c>
      <c r="AC4" s="13" t="inlineStr">
        <is>
          <t>PRE PAID</t>
        </is>
      </c>
      <c r="AD4" s="13" t="inlineStr">
        <is>
          <t>BALANCE</t>
        </is>
      </c>
    </row>
    <row r="5" ht="14.25" customHeight="1" s="101">
      <c r="C5" s="15" t="inlineStr">
        <is>
          <t>1</t>
        </is>
      </c>
      <c r="D5" s="92" t="n">
        <v>1594</v>
      </c>
      <c r="E5" s="92" t="inlineStr">
        <is>
          <t>MARY ANYANGO</t>
        </is>
      </c>
      <c r="F5" s="16" t="n">
        <v>2000</v>
      </c>
      <c r="G5" s="98" t="n">
        <v>2200</v>
      </c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" t="n">
        <v>4200</v>
      </c>
    </row>
    <row r="6">
      <c r="C6" s="15" t="inlineStr">
        <is>
          <t>2</t>
        </is>
      </c>
      <c r="D6" s="92" t="n">
        <v>1607</v>
      </c>
      <c r="E6" s="92" t="inlineStr">
        <is>
          <t>ELIZABETH ACHIENG</t>
        </is>
      </c>
      <c r="F6" s="16" t="n">
        <v>0</v>
      </c>
      <c r="G6" s="96" t="n">
        <v>2200</v>
      </c>
      <c r="H6" s="99" t="n"/>
      <c r="I6" s="99" t="n"/>
      <c r="J6" s="99" t="n"/>
      <c r="K6" s="99" t="n"/>
      <c r="L6" s="97" t="n"/>
      <c r="M6" s="110" t="n"/>
      <c r="N6" s="110" t="n"/>
      <c r="O6" s="110" t="n"/>
      <c r="P6" s="110" t="n"/>
      <c r="Q6" s="110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" t="n">
        <v>2200</v>
      </c>
    </row>
    <row r="7">
      <c r="C7" s="15" t="inlineStr">
        <is>
          <t>3</t>
        </is>
      </c>
      <c r="D7" s="92" t="n">
        <v>1608</v>
      </c>
      <c r="E7" s="92" t="inlineStr">
        <is>
          <t>MICHELLE .M.AKWARE</t>
        </is>
      </c>
      <c r="F7" s="16" t="n">
        <v>1000</v>
      </c>
      <c r="G7" s="96" t="n">
        <v>2200</v>
      </c>
      <c r="H7" s="99" t="n"/>
      <c r="I7" s="99" t="n"/>
      <c r="J7" s="99" t="n"/>
      <c r="K7" s="99" t="n"/>
      <c r="L7" s="97" t="n"/>
      <c r="M7" s="110" t="n"/>
      <c r="N7" s="110" t="n"/>
      <c r="O7" s="110" t="n"/>
      <c r="P7" s="110" t="n"/>
      <c r="Q7" s="110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" t="n">
        <v>3200</v>
      </c>
    </row>
    <row r="8">
      <c r="C8" s="15" t="inlineStr">
        <is>
          <t>4</t>
        </is>
      </c>
      <c r="D8" s="92" t="n">
        <v>1610</v>
      </c>
      <c r="E8" s="92" t="inlineStr">
        <is>
          <t>BENEDETTE AWINO</t>
        </is>
      </c>
      <c r="F8" s="16" t="n">
        <v>1400</v>
      </c>
      <c r="G8" s="96" t="n">
        <v>2200</v>
      </c>
      <c r="H8" s="99" t="n"/>
      <c r="I8" s="99" t="n"/>
      <c r="J8" s="99" t="n"/>
      <c r="K8" s="99" t="n"/>
      <c r="L8" s="97" t="n"/>
      <c r="M8" s="110" t="n"/>
      <c r="N8" s="110" t="n"/>
      <c r="O8" s="110" t="n"/>
      <c r="P8" s="110" t="n"/>
      <c r="Q8" s="110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" t="n">
        <v>3600</v>
      </c>
    </row>
    <row r="9">
      <c r="C9" s="15" t="inlineStr">
        <is>
          <t>5</t>
        </is>
      </c>
      <c r="D9" s="92" t="n">
        <v>1613</v>
      </c>
      <c r="E9" s="92" t="inlineStr">
        <is>
          <t>IDA ADHIAMBO</t>
        </is>
      </c>
      <c r="F9" s="16" t="n">
        <v>0</v>
      </c>
      <c r="G9" s="96" t="n">
        <v>2200</v>
      </c>
      <c r="H9" s="99" t="n"/>
      <c r="I9" s="99" t="n"/>
      <c r="J9" s="99" t="n"/>
      <c r="K9" s="99" t="n"/>
      <c r="L9" s="97" t="n"/>
      <c r="M9" s="110" t="n"/>
      <c r="N9" s="110" t="n"/>
      <c r="O9" s="110" t="n"/>
      <c r="P9" s="110" t="n"/>
      <c r="Q9" s="110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>
        <v>300</v>
      </c>
      <c r="AC9" s="17" t="n"/>
      <c r="AD9" s="1" t="n">
        <v>1900</v>
      </c>
    </row>
    <row r="10">
      <c r="C10" s="15" t="inlineStr">
        <is>
          <t>6</t>
        </is>
      </c>
      <c r="D10" s="92" t="n">
        <v>1614</v>
      </c>
      <c r="E10" s="45" t="inlineStr">
        <is>
          <t>MILLICENT .A. ONDU</t>
        </is>
      </c>
      <c r="F10" s="16" t="n">
        <v>0</v>
      </c>
      <c r="G10" s="96" t="n">
        <v>2200</v>
      </c>
      <c r="H10" s="99" t="n"/>
      <c r="I10" s="99" t="n"/>
      <c r="J10" s="99" t="n"/>
      <c r="K10" s="99" t="n"/>
      <c r="L10" s="97" t="n"/>
      <c r="M10" s="110" t="n"/>
      <c r="N10" s="110" t="n"/>
      <c r="O10" s="110" t="n"/>
      <c r="P10" s="110" t="n"/>
      <c r="Q10" s="110" t="n"/>
      <c r="R10" s="17" t="n"/>
      <c r="S10" s="17" t="n"/>
      <c r="T10" s="17" t="n"/>
      <c r="U10" s="17" t="n"/>
      <c r="V10" s="17" t="n">
        <v>800</v>
      </c>
      <c r="W10" s="17" t="n"/>
      <c r="X10" s="17" t="n">
        <v>150</v>
      </c>
      <c r="Y10" s="17" t="n"/>
      <c r="Z10" s="17" t="n">
        <v>600</v>
      </c>
      <c r="AA10" s="17" t="n"/>
      <c r="AB10" s="17" t="n"/>
      <c r="AC10" s="17" t="n"/>
      <c r="AD10" s="1" t="n">
        <v>650</v>
      </c>
    </row>
    <row r="11">
      <c r="C11" s="15" t="inlineStr">
        <is>
          <t>7</t>
        </is>
      </c>
      <c r="D11" s="92" t="n">
        <v>1618</v>
      </c>
      <c r="E11" s="92" t="inlineStr">
        <is>
          <t>YVONE ACHIENG</t>
        </is>
      </c>
      <c r="F11" s="16" t="n">
        <v>2000</v>
      </c>
      <c r="G11" s="98" t="n">
        <v>2200</v>
      </c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7" t="n"/>
      <c r="R11" s="17" t="n"/>
      <c r="S11" s="17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11" t="n">
        <v>4200</v>
      </c>
    </row>
    <row r="12">
      <c r="C12" s="15" t="inlineStr">
        <is>
          <t>8</t>
        </is>
      </c>
      <c r="D12" s="92" t="n">
        <v>1619</v>
      </c>
      <c r="E12" s="92" t="inlineStr">
        <is>
          <t>JANET ODANYA</t>
        </is>
      </c>
      <c r="F12" s="16" t="n">
        <v>900</v>
      </c>
      <c r="G12" s="96" t="n">
        <v>2200</v>
      </c>
      <c r="H12" s="99" t="n"/>
      <c r="I12" s="99" t="n"/>
      <c r="J12" s="99" t="n"/>
      <c r="K12" s="99" t="n"/>
      <c r="L12" s="97" t="n"/>
      <c r="M12" s="110" t="n"/>
      <c r="N12" s="110" t="n"/>
      <c r="O12" s="110" t="n"/>
      <c r="P12" s="110" t="n"/>
      <c r="Q12" s="110" t="n"/>
      <c r="R12" s="17" t="n">
        <v>1000</v>
      </c>
      <c r="S12" s="17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11" t="n">
        <v>2100</v>
      </c>
    </row>
    <row r="13">
      <c r="C13" s="15" t="inlineStr">
        <is>
          <t>9</t>
        </is>
      </c>
      <c r="D13" s="92" t="n">
        <v>1622</v>
      </c>
      <c r="E13" s="92" t="inlineStr">
        <is>
          <t>PAULINE ADHIAMBO</t>
        </is>
      </c>
      <c r="F13" s="16" t="n">
        <v>300</v>
      </c>
      <c r="G13" s="96" t="n">
        <v>2200</v>
      </c>
      <c r="H13" s="99" t="n"/>
      <c r="I13" s="99" t="n"/>
      <c r="J13" s="99" t="n"/>
      <c r="K13" s="99" t="n"/>
      <c r="L13" s="97" t="n"/>
      <c r="M13" s="110" t="n"/>
      <c r="N13" s="110" t="n"/>
      <c r="O13" s="110" t="n"/>
      <c r="P13" s="110" t="n"/>
      <c r="Q13" s="110" t="n"/>
      <c r="R13" s="17" t="n"/>
      <c r="S13" s="17" t="n"/>
      <c r="T13" s="41" t="n"/>
      <c r="U13" s="41" t="n"/>
      <c r="V13" s="41" t="n"/>
      <c r="W13" s="41" t="n"/>
      <c r="X13" s="41" t="n">
        <v>800</v>
      </c>
      <c r="Y13" s="41" t="n"/>
      <c r="Z13" s="41" t="n"/>
      <c r="AA13" s="41" t="n"/>
      <c r="AB13" s="41" t="n"/>
      <c r="AC13" s="41" t="n"/>
      <c r="AD13" s="11" t="n">
        <v>1700</v>
      </c>
    </row>
    <row r="14">
      <c r="C14" s="15" t="inlineStr">
        <is>
          <t>10</t>
        </is>
      </c>
      <c r="D14" s="92" t="n">
        <v>1623</v>
      </c>
      <c r="E14" s="45" t="inlineStr">
        <is>
          <t>EFFIE AWINO</t>
        </is>
      </c>
      <c r="F14" s="16" t="n">
        <v>0</v>
      </c>
      <c r="G14" s="96" t="n">
        <v>2200</v>
      </c>
      <c r="H14" s="99" t="n"/>
      <c r="I14" s="99" t="n"/>
      <c r="J14" s="99" t="n"/>
      <c r="K14" s="99" t="n"/>
      <c r="L14" s="97" t="n"/>
      <c r="M14" s="110" t="n"/>
      <c r="N14" s="110" t="n"/>
      <c r="O14" s="110" t="n"/>
      <c r="P14" s="110" t="n"/>
      <c r="Q14" s="110" t="n"/>
      <c r="R14" s="17" t="n">
        <v>200</v>
      </c>
      <c r="S14" s="17" t="n"/>
      <c r="T14" s="41" t="n">
        <v>500</v>
      </c>
      <c r="U14" s="41" t="n"/>
      <c r="V14" s="41" t="n">
        <v>650</v>
      </c>
      <c r="W14" s="41" t="n"/>
      <c r="X14" s="41" t="n">
        <v>150</v>
      </c>
      <c r="Y14" s="41" t="n"/>
      <c r="Z14" s="41" t="n"/>
      <c r="AA14" s="41" t="n"/>
      <c r="AB14" s="41" t="n">
        <v>1500</v>
      </c>
      <c r="AC14" s="41" t="n"/>
      <c r="AD14" s="11" t="n">
        <v>-800</v>
      </c>
    </row>
    <row r="15">
      <c r="C15" s="15" t="inlineStr">
        <is>
          <t>11</t>
        </is>
      </c>
      <c r="D15" s="92" t="n">
        <v>1626</v>
      </c>
      <c r="E15" s="54" t="inlineStr">
        <is>
          <t>MARCY ADHIAMBO</t>
        </is>
      </c>
      <c r="F15" s="16" t="n">
        <v>2200</v>
      </c>
      <c r="G15" s="96" t="n">
        <v>2200</v>
      </c>
      <c r="H15" s="99" t="n"/>
      <c r="I15" s="99" t="n"/>
      <c r="J15" s="99" t="n"/>
      <c r="K15" s="99" t="n"/>
      <c r="L15" s="97" t="n"/>
      <c r="M15" s="110" t="n"/>
      <c r="N15" s="110" t="n"/>
      <c r="O15" s="110" t="n"/>
      <c r="P15" s="110" t="n"/>
      <c r="Q15" s="110" t="n"/>
      <c r="R15" s="17" t="n"/>
      <c r="S15" s="17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11" t="n">
        <v>4400</v>
      </c>
    </row>
    <row r="16" ht="12" customHeight="1" s="101">
      <c r="C16" s="15" t="inlineStr">
        <is>
          <t>12</t>
        </is>
      </c>
      <c r="D16" s="92" t="n">
        <v>1628</v>
      </c>
      <c r="E16" s="92" t="inlineStr">
        <is>
          <t>ANN MICHELL OCHUKA</t>
        </is>
      </c>
      <c r="F16" s="16" t="n">
        <v>0</v>
      </c>
      <c r="G16" s="96" t="n">
        <v>2200</v>
      </c>
      <c r="H16" s="99" t="n"/>
      <c r="I16" s="99" t="n"/>
      <c r="J16" s="99" t="n"/>
      <c r="K16" s="99" t="n"/>
      <c r="L16" s="97" t="n"/>
      <c r="M16" s="110" t="n"/>
      <c r="N16" s="110" t="n"/>
      <c r="O16" s="110" t="n"/>
      <c r="P16" s="110" t="n"/>
      <c r="Q16" s="110" t="n"/>
      <c r="R16" s="17" t="n"/>
      <c r="S16" s="17" t="n"/>
      <c r="T16" s="41" t="n">
        <v>800</v>
      </c>
      <c r="U16" s="41" t="n"/>
      <c r="V16" s="41" t="n">
        <v>800</v>
      </c>
      <c r="W16" s="41" t="n"/>
      <c r="X16" s="41" t="n">
        <v>400</v>
      </c>
      <c r="Y16" s="41" t="n"/>
      <c r="Z16" s="41" t="n"/>
      <c r="AA16" s="41" t="n"/>
      <c r="AB16" s="41" t="n">
        <v>500</v>
      </c>
      <c r="AC16" s="41" t="n"/>
      <c r="AD16" s="1" t="n">
        <v>-300</v>
      </c>
    </row>
    <row r="17">
      <c r="C17" s="15" t="inlineStr">
        <is>
          <t>13</t>
        </is>
      </c>
      <c r="D17" s="92" t="n">
        <v>1631</v>
      </c>
      <c r="E17" s="45" t="inlineStr">
        <is>
          <t>EVERLYNE ATIENO</t>
        </is>
      </c>
      <c r="F17" s="16" t="n">
        <v>1500</v>
      </c>
      <c r="G17" s="98" t="n">
        <v>2200</v>
      </c>
      <c r="H17" s="99" t="n"/>
      <c r="I17" s="99" t="n"/>
      <c r="J17" s="99" t="n"/>
      <c r="K17" s="99" t="n"/>
      <c r="L17" s="99" t="n"/>
      <c r="M17" s="99" t="n"/>
      <c r="N17" s="99" t="n"/>
      <c r="O17" s="99" t="n"/>
      <c r="P17" s="99" t="n"/>
      <c r="Q17" s="97" t="n"/>
      <c r="R17" s="17" t="n"/>
      <c r="S17" s="17" t="n"/>
      <c r="T17" s="17" t="n"/>
      <c r="U17" s="17" t="n"/>
      <c r="V17" s="17" t="n">
        <v>200</v>
      </c>
      <c r="W17" s="17" t="n"/>
      <c r="X17" s="17" t="n"/>
      <c r="Y17" s="17" t="n"/>
      <c r="Z17" s="17" t="n"/>
      <c r="AA17" s="17" t="n"/>
      <c r="AB17" s="17" t="n"/>
      <c r="AC17" s="17" t="n"/>
      <c r="AD17" s="1" t="n">
        <v>3500</v>
      </c>
    </row>
    <row r="18">
      <c r="C18" s="15" t="inlineStr">
        <is>
          <t>14</t>
        </is>
      </c>
      <c r="D18" s="92" t="n">
        <v>1642</v>
      </c>
      <c r="E18" s="92" t="inlineStr">
        <is>
          <t>FLORENCE ATIENO</t>
        </is>
      </c>
      <c r="F18" s="16" t="n">
        <v>200</v>
      </c>
      <c r="G18" s="96" t="n">
        <v>2200</v>
      </c>
      <c r="H18" s="99" t="n"/>
      <c r="I18" s="99" t="n"/>
      <c r="J18" s="99" t="n"/>
      <c r="K18" s="99" t="n"/>
      <c r="L18" s="97" t="n"/>
      <c r="M18" s="110" t="n"/>
      <c r="N18" s="110" t="n"/>
      <c r="O18" s="110" t="n"/>
      <c r="P18" s="110" t="n"/>
      <c r="Q18" s="110" t="n"/>
      <c r="R18" s="17" t="n">
        <v>100</v>
      </c>
      <c r="S18" s="17" t="n"/>
      <c r="T18" s="17" t="n"/>
      <c r="U18" s="17" t="n"/>
      <c r="V18" s="17" t="n">
        <v>600</v>
      </c>
      <c r="W18" s="17" t="n"/>
      <c r="X18" s="17" t="n"/>
      <c r="Y18" s="17" t="n"/>
      <c r="Z18" s="17" t="n"/>
      <c r="AA18" s="17" t="n"/>
      <c r="AB18" s="17" t="n"/>
      <c r="AC18" s="17" t="n"/>
      <c r="AD18" s="11" t="n">
        <v>1700</v>
      </c>
    </row>
    <row r="19">
      <c r="C19" s="15" t="inlineStr">
        <is>
          <t>15</t>
        </is>
      </c>
      <c r="D19" s="92" t="n">
        <v>1643</v>
      </c>
      <c r="E19" s="45" t="inlineStr">
        <is>
          <t>JOYCE ATIENO</t>
        </is>
      </c>
      <c r="F19" s="16" t="n">
        <v>800</v>
      </c>
      <c r="G19" s="96" t="n">
        <v>2200</v>
      </c>
      <c r="H19" s="99" t="n"/>
      <c r="I19" s="99" t="n"/>
      <c r="J19" s="99" t="n"/>
      <c r="K19" s="99" t="n"/>
      <c r="L19" s="97" t="n"/>
      <c r="M19" s="110" t="n"/>
      <c r="N19" s="110" t="n"/>
      <c r="O19" s="110" t="n"/>
      <c r="P19" s="110" t="n"/>
      <c r="Q19" s="110" t="n"/>
      <c r="R19" s="17" t="n"/>
      <c r="S19" s="17" t="n"/>
      <c r="T19" s="17" t="n"/>
      <c r="U19" s="17" t="n"/>
      <c r="V19" s="17" t="n">
        <v>600</v>
      </c>
      <c r="W19" s="17" t="n"/>
      <c r="X19" s="17" t="n"/>
      <c r="Y19" s="17" t="n"/>
      <c r="Z19" s="17" t="n"/>
      <c r="AA19" s="17" t="n"/>
      <c r="AB19" s="17" t="n">
        <v>800</v>
      </c>
      <c r="AC19" s="17" t="n"/>
      <c r="AD19" s="1" t="n">
        <v>1600</v>
      </c>
    </row>
    <row r="20">
      <c r="C20" s="15" t="inlineStr">
        <is>
          <t>16</t>
        </is>
      </c>
      <c r="D20" s="92" t="n">
        <v>1644</v>
      </c>
      <c r="E20" s="92" t="inlineStr">
        <is>
          <t>ANNA ATIENO OTIENO</t>
        </is>
      </c>
      <c r="F20" s="16" t="n">
        <v>2000</v>
      </c>
      <c r="G20" s="96" t="n">
        <v>2200</v>
      </c>
      <c r="H20" s="99" t="n"/>
      <c r="I20" s="99" t="n"/>
      <c r="J20" s="99" t="n"/>
      <c r="K20" s="99" t="n"/>
      <c r="L20" s="97" t="n"/>
      <c r="M20" s="110" t="n"/>
      <c r="N20" s="110" t="n"/>
      <c r="O20" s="110" t="n"/>
      <c r="P20" s="110" t="n"/>
      <c r="Q20" s="110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" t="n">
        <v>4200</v>
      </c>
    </row>
    <row r="21" ht="14.25" customHeight="1" s="101">
      <c r="C21" s="15" t="inlineStr">
        <is>
          <t>17</t>
        </is>
      </c>
      <c r="D21" s="92" t="n">
        <v>1646</v>
      </c>
      <c r="E21" s="92" t="inlineStr">
        <is>
          <t>JULIAN ADONGO</t>
        </is>
      </c>
      <c r="F21" s="16" t="n">
        <v>0</v>
      </c>
      <c r="G21" s="96" t="n">
        <v>2200</v>
      </c>
      <c r="H21" s="99" t="n"/>
      <c r="I21" s="99" t="n"/>
      <c r="J21" s="99" t="n"/>
      <c r="K21" s="99" t="n"/>
      <c r="L21" s="97" t="n"/>
      <c r="M21" s="110" t="n"/>
      <c r="N21" s="110" t="n"/>
      <c r="O21" s="110" t="n"/>
      <c r="P21" s="110" t="n"/>
      <c r="Q21" s="110" t="n"/>
      <c r="R21" s="17" t="n">
        <v>800</v>
      </c>
      <c r="S21" s="17" t="n"/>
      <c r="T21" s="17" t="n"/>
      <c r="U21" s="17" t="n"/>
      <c r="V21" s="17" t="n">
        <v>600</v>
      </c>
      <c r="W21" s="17" t="n"/>
      <c r="X21" s="17" t="n"/>
      <c r="Y21" s="17" t="n"/>
      <c r="Z21" s="17" t="n"/>
      <c r="AA21" s="17" t="n"/>
      <c r="AB21" s="17" t="n"/>
      <c r="AC21" s="17" t="n"/>
      <c r="AD21" s="1" t="n">
        <v>800</v>
      </c>
    </row>
    <row r="22">
      <c r="C22" s="15" t="inlineStr">
        <is>
          <t>18</t>
        </is>
      </c>
      <c r="D22" s="92" t="n">
        <v>1648</v>
      </c>
      <c r="E22" s="45" t="inlineStr">
        <is>
          <t>BECKY AKINYI</t>
        </is>
      </c>
      <c r="F22" s="16" t="n">
        <v>1650</v>
      </c>
      <c r="G22" s="98" t="n">
        <v>2200</v>
      </c>
      <c r="H22" s="99" t="n"/>
      <c r="I22" s="99" t="n"/>
      <c r="J22" s="99" t="n"/>
      <c r="K22" s="99" t="n"/>
      <c r="L22" s="99" t="n"/>
      <c r="M22" s="99" t="n"/>
      <c r="N22" s="99" t="n"/>
      <c r="O22" s="99" t="n"/>
      <c r="P22" s="99" t="n"/>
      <c r="Q22" s="9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" t="n">
        <v>3850</v>
      </c>
    </row>
    <row r="23">
      <c r="C23" s="15" t="inlineStr">
        <is>
          <t>19</t>
        </is>
      </c>
      <c r="D23" s="92" t="n">
        <v>1649</v>
      </c>
      <c r="E23" s="92" t="inlineStr">
        <is>
          <t>VIVIAN AYAKO</t>
        </is>
      </c>
      <c r="F23" s="16" t="n">
        <v>0</v>
      </c>
      <c r="G23" s="98" t="n">
        <v>2200</v>
      </c>
      <c r="H23" s="99" t="n"/>
      <c r="I23" s="99" t="n"/>
      <c r="J23" s="99" t="n"/>
      <c r="K23" s="99" t="n"/>
      <c r="L23" s="99" t="n"/>
      <c r="M23" s="99" t="n"/>
      <c r="N23" s="99" t="n"/>
      <c r="O23" s="99" t="n"/>
      <c r="P23" s="99" t="n"/>
      <c r="Q23" s="97" t="n"/>
      <c r="R23" s="17" t="n"/>
      <c r="S23" s="17" t="n"/>
      <c r="T23" s="17" t="n"/>
      <c r="U23" s="20" t="n"/>
      <c r="V23" s="20" t="n">
        <v>1600</v>
      </c>
      <c r="W23" s="20" t="n"/>
      <c r="X23" s="20" t="n"/>
      <c r="Y23" s="20" t="n"/>
      <c r="Z23" s="20" t="n"/>
      <c r="AA23" s="20" t="n"/>
      <c r="AB23" s="20" t="n"/>
      <c r="AC23" s="20" t="n"/>
      <c r="AD23" s="1" t="n">
        <v>600</v>
      </c>
    </row>
    <row r="24">
      <c r="C24" s="15" t="inlineStr">
        <is>
          <t>20</t>
        </is>
      </c>
      <c r="D24" s="92" t="n">
        <v>1654</v>
      </c>
      <c r="E24" s="45" t="inlineStr">
        <is>
          <t>MITCHEL AUMA</t>
        </is>
      </c>
      <c r="F24" s="16" t="n">
        <v>1750</v>
      </c>
      <c r="G24" s="96" t="n">
        <v>2200</v>
      </c>
      <c r="H24" s="99" t="n"/>
      <c r="I24" s="99" t="n"/>
      <c r="J24" s="99" t="n"/>
      <c r="K24" s="99" t="n"/>
      <c r="L24" s="97" t="n"/>
      <c r="M24" s="110" t="n"/>
      <c r="N24" s="110" t="n"/>
      <c r="O24" s="110" t="n"/>
      <c r="P24" s="110" t="n"/>
      <c r="Q24" s="110" t="n"/>
      <c r="R24" s="17" t="n"/>
      <c r="S24" s="17" t="n"/>
      <c r="T24" s="17" t="n"/>
      <c r="U24" s="17" t="n"/>
      <c r="V24" s="17" t="n"/>
      <c r="W24" s="17" t="n"/>
      <c r="X24" s="17" t="n">
        <v>500</v>
      </c>
      <c r="Y24" s="17" t="n"/>
      <c r="Z24" s="17" t="n"/>
      <c r="AA24" s="17" t="n"/>
      <c r="AB24" s="17" t="n"/>
      <c r="AC24" s="17" t="n"/>
      <c r="AD24" s="1" t="n">
        <v>3450</v>
      </c>
    </row>
    <row r="25">
      <c r="C25" s="15" t="inlineStr">
        <is>
          <t>21</t>
        </is>
      </c>
      <c r="D25" s="92" t="n">
        <v>1655</v>
      </c>
      <c r="E25" s="45" t="inlineStr">
        <is>
          <t>MILLICENT OCHUKA</t>
        </is>
      </c>
      <c r="F25" s="16" t="n">
        <v>1400</v>
      </c>
      <c r="G25" s="96" t="n">
        <v>2200</v>
      </c>
      <c r="H25" s="99" t="n"/>
      <c r="I25" s="99" t="n"/>
      <c r="J25" s="99" t="n"/>
      <c r="K25" s="99" t="n"/>
      <c r="L25" s="97" t="n"/>
      <c r="M25" s="110" t="n"/>
      <c r="N25" s="110" t="n"/>
      <c r="O25" s="110" t="n"/>
      <c r="P25" s="110" t="n"/>
      <c r="Q25" s="110" t="n"/>
      <c r="R25" s="17" t="n">
        <v>200</v>
      </c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" t="n">
        <v>3000</v>
      </c>
    </row>
    <row r="26">
      <c r="C26" s="15" t="inlineStr">
        <is>
          <t>22</t>
        </is>
      </c>
      <c r="D26" s="92" t="n">
        <v>1660</v>
      </c>
      <c r="E26" s="92" t="inlineStr">
        <is>
          <t>FAITH MARION</t>
        </is>
      </c>
      <c r="F26" s="16" t="n">
        <v>1050</v>
      </c>
      <c r="G26" s="96" t="n">
        <v>2200</v>
      </c>
      <c r="H26" s="99" t="n"/>
      <c r="I26" s="99" t="n"/>
      <c r="J26" s="99" t="n"/>
      <c r="K26" s="99" t="n"/>
      <c r="L26" s="97" t="n"/>
      <c r="M26" s="110" t="n"/>
      <c r="N26" s="110" t="n"/>
      <c r="O26" s="110" t="n"/>
      <c r="P26" s="110" t="n"/>
      <c r="Q26" s="110" t="n"/>
      <c r="R26" s="17" t="n"/>
      <c r="S26" s="17" t="n"/>
      <c r="T26" s="17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11" t="n">
        <v>3250</v>
      </c>
    </row>
    <row r="27">
      <c r="C27" s="15" t="inlineStr">
        <is>
          <t>23</t>
        </is>
      </c>
      <c r="D27" s="92" t="n">
        <v>1661</v>
      </c>
      <c r="E27" s="45" t="inlineStr">
        <is>
          <t>LILIAN ADONGO</t>
        </is>
      </c>
      <c r="F27" s="16" t="n">
        <v>950</v>
      </c>
      <c r="G27" s="98" t="n">
        <v>2200</v>
      </c>
      <c r="H27" s="99" t="n"/>
      <c r="I27" s="99" t="n"/>
      <c r="J27" s="99" t="n"/>
      <c r="K27" s="99" t="n"/>
      <c r="L27" s="99" t="n"/>
      <c r="M27" s="99" t="n"/>
      <c r="N27" s="99" t="n"/>
      <c r="O27" s="99" t="n"/>
      <c r="P27" s="99" t="n"/>
      <c r="Q27" s="9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" t="n">
        <v>3150</v>
      </c>
    </row>
    <row r="28">
      <c r="C28" s="15" t="inlineStr">
        <is>
          <t>24</t>
        </is>
      </c>
      <c r="D28" s="92" t="n">
        <v>1662</v>
      </c>
      <c r="E28" s="92" t="inlineStr">
        <is>
          <t>MARCELINE AWUOR</t>
        </is>
      </c>
      <c r="F28" s="16" t="n">
        <v>1800</v>
      </c>
      <c r="G28" s="98" t="n">
        <v>2200</v>
      </c>
      <c r="H28" s="99" t="n"/>
      <c r="I28" s="99" t="n"/>
      <c r="J28" s="99" t="n"/>
      <c r="K28" s="99" t="n"/>
      <c r="L28" s="99" t="n"/>
      <c r="M28" s="99" t="n"/>
      <c r="N28" s="99" t="n"/>
      <c r="O28" s="99" t="n"/>
      <c r="P28" s="99" t="n"/>
      <c r="Q28" s="9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" t="n">
        <v>4000</v>
      </c>
    </row>
    <row r="29">
      <c r="C29" s="15" t="inlineStr">
        <is>
          <t>25</t>
        </is>
      </c>
      <c r="D29" s="92" t="n">
        <v>1665</v>
      </c>
      <c r="E29" s="92" t="inlineStr">
        <is>
          <t>BRENDA AWUOR</t>
        </is>
      </c>
      <c r="F29" s="16" t="n">
        <v>300</v>
      </c>
      <c r="G29" s="96" t="n">
        <v>2200</v>
      </c>
      <c r="H29" s="99" t="n"/>
      <c r="I29" s="99" t="n"/>
      <c r="J29" s="99" t="n"/>
      <c r="K29" s="99" t="n"/>
      <c r="L29" s="97" t="n"/>
      <c r="M29" s="110" t="n"/>
      <c r="N29" s="110" t="n"/>
      <c r="O29" s="110" t="n"/>
      <c r="P29" s="110" t="n"/>
      <c r="Q29" s="110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" t="n">
        <v>2500</v>
      </c>
    </row>
    <row r="30">
      <c r="C30" s="15" t="inlineStr">
        <is>
          <t>26</t>
        </is>
      </c>
      <c r="D30" s="92" t="n">
        <v>1666</v>
      </c>
      <c r="E30" s="45" t="inlineStr">
        <is>
          <t>PAMELA AOKO</t>
        </is>
      </c>
      <c r="F30" s="16" t="n">
        <v>2000</v>
      </c>
      <c r="G30" s="96" t="n">
        <v>2200</v>
      </c>
      <c r="H30" s="99" t="n"/>
      <c r="I30" s="99" t="n"/>
      <c r="J30" s="99" t="n"/>
      <c r="K30" s="99" t="n"/>
      <c r="L30" s="97" t="n"/>
      <c r="M30" s="110" t="n"/>
      <c r="N30" s="110" t="n"/>
      <c r="O30" s="110" t="n"/>
      <c r="P30" s="110" t="n"/>
      <c r="Q30" s="110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" t="n">
        <v>4200</v>
      </c>
    </row>
    <row r="31" ht="15.75" customHeight="1" s="101" thickBot="1">
      <c r="C31" s="21" t="n"/>
      <c r="D31" s="21" t="n"/>
      <c r="E31" s="22" t="inlineStr">
        <is>
          <t>TOTAL</t>
        </is>
      </c>
      <c r="F31" s="7">
        <f>SUM(F5:F30)</f>
        <v/>
      </c>
      <c r="G31" s="8">
        <f>SUM(G5:G30)</f>
        <v/>
      </c>
      <c r="H31" s="8">
        <f>SUM(H5:H23)</f>
        <v/>
      </c>
      <c r="I31" s="8">
        <f>SUM(I5:I23)</f>
        <v/>
      </c>
      <c r="J31" s="8">
        <f>SUM(J5:J23)</f>
        <v/>
      </c>
      <c r="K31" s="8">
        <f>SUM(K5:K23)</f>
        <v/>
      </c>
      <c r="L31" s="8">
        <f>SUM(L5:L23)</f>
        <v/>
      </c>
      <c r="M31" s="8">
        <f>SUM(M5:M23)</f>
        <v/>
      </c>
      <c r="N31" s="8">
        <f>SUM(N5:N23)</f>
        <v/>
      </c>
      <c r="O31" s="8">
        <f>SUM(O5:O23)</f>
        <v/>
      </c>
      <c r="P31" s="8">
        <f>SUM(P5:P23)</f>
        <v/>
      </c>
      <c r="Q31" s="8">
        <f>SUM(Q5:Q23)</f>
        <v/>
      </c>
      <c r="R31" s="8">
        <f>SUM(R5:R30)</f>
        <v/>
      </c>
      <c r="S31" s="8">
        <f>SUM(S5:S30)</f>
        <v/>
      </c>
      <c r="T31" s="8">
        <f>SUM(T5:T30)</f>
        <v/>
      </c>
      <c r="U31" s="8">
        <f>SUM(U5:U30)</f>
        <v/>
      </c>
      <c r="V31" s="8">
        <f>SUM(V5:V30)</f>
        <v/>
      </c>
      <c r="W31" s="8">
        <f>SUM(W5:W30)</f>
        <v/>
      </c>
      <c r="X31" s="8">
        <f>SUM(X5:X30)</f>
        <v/>
      </c>
      <c r="Y31" s="8">
        <f>SUM(Y5:Y30)</f>
        <v/>
      </c>
      <c r="Z31" s="8">
        <f>SUM(Z5:Z30)</f>
        <v/>
      </c>
      <c r="AA31" s="8">
        <f>SUM(AA5:AA30)</f>
        <v/>
      </c>
      <c r="AB31" s="8">
        <f>SUM(AB5:AB30)</f>
        <v/>
      </c>
      <c r="AC31" s="8">
        <f>SUM(AC5:AC30)</f>
        <v/>
      </c>
      <c r="AD31" s="9">
        <f>SUM(AD5:AD30)</f>
        <v/>
      </c>
    </row>
    <row r="32">
      <c r="C32" s="33" t="n"/>
      <c r="D32" s="33" t="n"/>
      <c r="E32" s="34" t="n"/>
      <c r="F32" s="30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2" t="n"/>
    </row>
    <row r="33" ht="18" customHeight="1" s="101">
      <c r="C33" s="100" t="inlineStr">
        <is>
          <t>KIREMBE SECONDARY SCHOOL.</t>
        </is>
      </c>
    </row>
    <row r="34">
      <c r="C34" s="108" t="inlineStr">
        <is>
          <t xml:space="preserve"> FEE REGISTER(LUNCH)2025 FORM 3A</t>
        </is>
      </c>
      <c r="G34" s="14" t="n"/>
      <c r="R34" s="14" t="n"/>
      <c r="S34" s="14" t="inlineStr">
        <is>
          <t>1ST TERM</t>
        </is>
      </c>
      <c r="T34" s="14" t="n"/>
      <c r="U34" s="14" t="n"/>
      <c r="V34" s="14" t="inlineStr">
        <is>
          <t>2ND TERM</t>
        </is>
      </c>
      <c r="W34" s="14" t="n"/>
      <c r="X34" s="14" t="n"/>
      <c r="Y34" s="14" t="n"/>
      <c r="Z34" s="14" t="inlineStr">
        <is>
          <t>3RD TERM</t>
        </is>
      </c>
    </row>
    <row r="35" ht="51.75" customHeight="1" s="101">
      <c r="C35" s="36" t="inlineStr">
        <is>
          <t>NO.</t>
        </is>
      </c>
      <c r="D35" s="36" t="inlineStr">
        <is>
          <t>ADM</t>
        </is>
      </c>
      <c r="E35" t="inlineStr">
        <is>
          <t>NAME</t>
        </is>
      </c>
      <c r="G35" s="103" t="inlineStr">
        <is>
          <t>DEBT</t>
        </is>
      </c>
      <c r="R35" s="104" t="inlineStr">
        <is>
          <t>REPAYMENT</t>
        </is>
      </c>
    </row>
    <row r="36">
      <c r="C36" s="12" t="n"/>
      <c r="D36" s="12" t="n"/>
      <c r="E36" s="13" t="n"/>
      <c r="F36" s="13" t="inlineStr">
        <is>
          <t>ARREAS</t>
        </is>
      </c>
      <c r="G36" s="105" t="n">
        <v>2025</v>
      </c>
      <c r="H36" s="106" t="n"/>
      <c r="I36" s="106" t="n"/>
      <c r="J36" s="106" t="n"/>
      <c r="K36" s="106" t="n"/>
      <c r="L36" s="106" t="n"/>
      <c r="M36" s="106" t="n"/>
      <c r="N36" s="106" t="n"/>
      <c r="O36" s="106" t="n"/>
      <c r="P36" s="106" t="n"/>
      <c r="Q36" s="106" t="n"/>
      <c r="R36" s="13" t="inlineStr">
        <is>
          <t>JAN</t>
        </is>
      </c>
      <c r="S36" s="13" t="inlineStr">
        <is>
          <t>FEB</t>
        </is>
      </c>
      <c r="T36" s="13" t="inlineStr">
        <is>
          <t>MAR</t>
        </is>
      </c>
      <c r="U36" s="13" t="inlineStr">
        <is>
          <t>APR</t>
        </is>
      </c>
      <c r="V36" s="13" t="inlineStr">
        <is>
          <t>MAY</t>
        </is>
      </c>
      <c r="W36" s="13" t="inlineStr">
        <is>
          <t>JUN</t>
        </is>
      </c>
      <c r="X36" s="13" t="inlineStr">
        <is>
          <t>JUL</t>
        </is>
      </c>
      <c r="Y36" s="13" t="inlineStr">
        <is>
          <t>AUG</t>
        </is>
      </c>
      <c r="Z36" s="13" t="inlineStr">
        <is>
          <t>SEP</t>
        </is>
      </c>
      <c r="AA36" s="13" t="inlineStr">
        <is>
          <t>OCT</t>
        </is>
      </c>
      <c r="AB36" s="13" t="inlineStr">
        <is>
          <t>NOV</t>
        </is>
      </c>
      <c r="AC36" s="13" t="inlineStr">
        <is>
          <t>PRE PAID</t>
        </is>
      </c>
      <c r="AD36" s="13" t="inlineStr">
        <is>
          <t>BALANCE</t>
        </is>
      </c>
    </row>
    <row r="37">
      <c r="C37" s="15" t="n"/>
      <c r="D37" s="92" t="n"/>
      <c r="E37" s="24" t="n"/>
      <c r="F37" s="25">
        <f>F31</f>
        <v/>
      </c>
      <c r="G37" s="98">
        <f>G31</f>
        <v/>
      </c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7" t="n"/>
      <c r="R37" s="26">
        <f>R31</f>
        <v/>
      </c>
      <c r="S37" s="27">
        <f>S31</f>
        <v/>
      </c>
      <c r="T37" s="27">
        <f>T31</f>
        <v/>
      </c>
      <c r="U37" s="27">
        <f>U31</f>
        <v/>
      </c>
      <c r="V37" s="27">
        <f>V31</f>
        <v/>
      </c>
      <c r="W37" s="27">
        <f>W31</f>
        <v/>
      </c>
      <c r="X37" s="27">
        <f>X31</f>
        <v/>
      </c>
      <c r="Y37" s="27">
        <f>Y31</f>
        <v/>
      </c>
      <c r="Z37" s="27">
        <f>Z31</f>
        <v/>
      </c>
      <c r="AA37" s="27" t="n"/>
      <c r="AB37" s="27" t="n"/>
      <c r="AC37" s="26">
        <f>AC31</f>
        <v/>
      </c>
      <c r="AD37" s="1">
        <f>AD31</f>
        <v/>
      </c>
    </row>
    <row r="38">
      <c r="C38" s="15" t="inlineStr">
        <is>
          <t>27</t>
        </is>
      </c>
      <c r="D38" s="92" t="n">
        <v>1667</v>
      </c>
      <c r="E38" s="45" t="inlineStr">
        <is>
          <t>PHILISTER ATIENO</t>
        </is>
      </c>
      <c r="F38" s="16" t="n">
        <v>500</v>
      </c>
      <c r="G38" s="96" t="n">
        <v>2200</v>
      </c>
      <c r="H38" s="99" t="n"/>
      <c r="I38" s="99" t="n"/>
      <c r="J38" s="99" t="n"/>
      <c r="K38" s="99" t="n"/>
      <c r="L38" s="97" t="n"/>
      <c r="M38" s="110" t="n"/>
      <c r="N38" s="110" t="n"/>
      <c r="O38" s="110" t="n"/>
      <c r="P38" s="110" t="n"/>
      <c r="Q38" s="110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" t="n">
        <v>2700</v>
      </c>
    </row>
    <row r="39">
      <c r="C39" s="15" t="inlineStr">
        <is>
          <t>28</t>
        </is>
      </c>
      <c r="D39" s="92" t="n">
        <v>1668</v>
      </c>
      <c r="E39" s="45" t="inlineStr">
        <is>
          <t>REHEMA ACHIENG</t>
        </is>
      </c>
      <c r="F39" s="16" t="n">
        <v>1150</v>
      </c>
      <c r="G39" s="96" t="n">
        <v>2200</v>
      </c>
      <c r="H39" s="99" t="n"/>
      <c r="I39" s="99" t="n"/>
      <c r="J39" s="99" t="n"/>
      <c r="K39" s="99" t="n"/>
      <c r="L39" s="97" t="n"/>
      <c r="M39" s="110" t="n"/>
      <c r="N39" s="110" t="n"/>
      <c r="O39" s="110" t="n"/>
      <c r="P39" s="110" t="n"/>
      <c r="Q39" s="110" t="n"/>
      <c r="R39" s="17" t="n"/>
      <c r="S39" s="17" t="n"/>
      <c r="T39" s="17" t="n">
        <v>300</v>
      </c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" t="n">
        <v>3050</v>
      </c>
    </row>
    <row r="40">
      <c r="C40" s="15" t="inlineStr">
        <is>
          <t>29</t>
        </is>
      </c>
      <c r="D40" s="92" t="n">
        <v>1672</v>
      </c>
      <c r="E40" s="45" t="inlineStr">
        <is>
          <t>MORREL AKINYI</t>
        </is>
      </c>
      <c r="F40" s="16" t="n">
        <v>1900</v>
      </c>
      <c r="G40" s="98" t="n">
        <v>2200</v>
      </c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1" t="n">
        <v>4100</v>
      </c>
    </row>
    <row r="41">
      <c r="C41" s="15" t="inlineStr">
        <is>
          <t>30</t>
        </is>
      </c>
      <c r="D41" s="92" t="n">
        <v>1676</v>
      </c>
      <c r="E41" s="45" t="inlineStr">
        <is>
          <t>CYNTHIA WEKESA</t>
        </is>
      </c>
      <c r="F41" s="16" t="n">
        <v>1250</v>
      </c>
      <c r="G41" s="96" t="n">
        <v>2200</v>
      </c>
      <c r="H41" s="99" t="n"/>
      <c r="I41" s="99" t="n"/>
      <c r="J41" s="99" t="n"/>
      <c r="K41" s="99" t="n"/>
      <c r="L41" s="97" t="n"/>
      <c r="M41" s="110" t="n"/>
      <c r="N41" s="110" t="n"/>
      <c r="O41" s="110" t="n"/>
      <c r="P41" s="110" t="n"/>
      <c r="Q41" s="110" t="n"/>
      <c r="R41" s="17" t="n">
        <v>100</v>
      </c>
      <c r="S41" s="17" t="n"/>
      <c r="T41" s="17" t="n"/>
      <c r="U41" s="17" t="n"/>
      <c r="V41" s="17" t="n"/>
      <c r="W41" s="17" t="n"/>
      <c r="X41" s="17" t="n"/>
      <c r="Y41" s="17" t="n"/>
      <c r="Z41" s="17" t="n">
        <v>300</v>
      </c>
      <c r="AA41" s="17" t="n"/>
      <c r="AB41" s="17" t="n"/>
      <c r="AC41" s="17" t="n"/>
      <c r="AD41" s="1" t="n">
        <v>3050</v>
      </c>
    </row>
    <row r="42">
      <c r="C42" s="15" t="inlineStr">
        <is>
          <t>31</t>
        </is>
      </c>
      <c r="D42" s="92" t="n">
        <v>1677</v>
      </c>
      <c r="E42" s="54" t="inlineStr">
        <is>
          <t>VIVIAN JEBET</t>
        </is>
      </c>
      <c r="F42" s="16" t="n">
        <v>0</v>
      </c>
      <c r="G42" s="96" t="n">
        <v>2200</v>
      </c>
      <c r="H42" s="99" t="n"/>
      <c r="I42" s="99" t="n"/>
      <c r="J42" s="99" t="n"/>
      <c r="K42" s="99" t="n"/>
      <c r="L42" s="97" t="n"/>
      <c r="M42" s="110" t="n"/>
      <c r="N42" s="110" t="n"/>
      <c r="O42" s="110" t="n"/>
      <c r="P42" s="110" t="n"/>
      <c r="Q42" s="110" t="n"/>
      <c r="R42" s="17" t="n"/>
      <c r="S42" s="17" t="n"/>
      <c r="T42" s="17" t="n"/>
      <c r="U42" s="17" t="n"/>
      <c r="V42" s="17" t="n">
        <v>100</v>
      </c>
      <c r="W42" s="17" t="n"/>
      <c r="X42" s="17" t="n"/>
      <c r="Y42" s="17" t="n"/>
      <c r="Z42" s="17" t="n"/>
      <c r="AA42" s="17" t="n"/>
      <c r="AB42" s="17" t="n"/>
      <c r="AC42" s="17" t="n"/>
      <c r="AD42" s="1" t="n">
        <v>2100</v>
      </c>
    </row>
    <row r="43">
      <c r="C43" s="15" t="inlineStr">
        <is>
          <t>32</t>
        </is>
      </c>
      <c r="D43" s="92" t="n">
        <v>1680</v>
      </c>
      <c r="E43" s="92" t="inlineStr">
        <is>
          <t>JONNEL ASINA</t>
        </is>
      </c>
      <c r="F43" s="16" t="n">
        <v>2000</v>
      </c>
      <c r="G43" s="96" t="n">
        <v>2200</v>
      </c>
      <c r="H43" s="99" t="n"/>
      <c r="I43" s="99" t="n"/>
      <c r="J43" s="99" t="n"/>
      <c r="K43" s="99" t="n"/>
      <c r="L43" s="97" t="n"/>
      <c r="M43" s="110" t="n"/>
      <c r="N43" s="110" t="n"/>
      <c r="O43" s="110" t="n"/>
      <c r="P43" s="110" t="n"/>
      <c r="Q43" s="110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" t="n">
        <v>4200</v>
      </c>
    </row>
    <row r="44">
      <c r="C44" s="15" t="inlineStr">
        <is>
          <t>33</t>
        </is>
      </c>
      <c r="D44" s="92" t="n">
        <v>1681</v>
      </c>
      <c r="E44" s="92" t="inlineStr">
        <is>
          <t>EMMECULATE AWUOR</t>
        </is>
      </c>
      <c r="F44" s="16" t="n">
        <v>2000</v>
      </c>
      <c r="G44" s="96" t="n">
        <v>2200</v>
      </c>
      <c r="H44" s="99" t="n"/>
      <c r="I44" s="99" t="n"/>
      <c r="J44" s="99" t="n"/>
      <c r="K44" s="99" t="n"/>
      <c r="L44" s="97" t="n"/>
      <c r="M44" s="110" t="n"/>
      <c r="N44" s="110" t="n"/>
      <c r="O44" s="110" t="n"/>
      <c r="P44" s="110" t="n"/>
      <c r="Q44" s="110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" t="n">
        <v>4200</v>
      </c>
    </row>
    <row r="45">
      <c r="C45" s="15" t="inlineStr">
        <is>
          <t>34</t>
        </is>
      </c>
      <c r="D45" s="92" t="n">
        <v>1683</v>
      </c>
      <c r="E45" s="92" t="inlineStr">
        <is>
          <t>LUCY ANYANGO</t>
        </is>
      </c>
      <c r="F45" s="16" t="n">
        <v>900</v>
      </c>
      <c r="G45" s="98" t="n">
        <v>2200</v>
      </c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" t="n">
        <v>3100</v>
      </c>
    </row>
    <row r="46">
      <c r="C46" s="15" t="inlineStr">
        <is>
          <t>35</t>
        </is>
      </c>
      <c r="D46" s="92" t="n">
        <v>1684</v>
      </c>
      <c r="E46" s="45" t="inlineStr">
        <is>
          <t>PURITY AKINYI</t>
        </is>
      </c>
      <c r="F46" s="16" t="n">
        <v>2000</v>
      </c>
      <c r="G46" s="98" t="n">
        <v>2200</v>
      </c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0" t="n">
        <v>4200</v>
      </c>
    </row>
    <row r="47">
      <c r="C47" s="15" t="inlineStr">
        <is>
          <t>36</t>
        </is>
      </c>
      <c r="D47" s="92" t="n">
        <v>1686</v>
      </c>
      <c r="E47" s="92" t="inlineStr">
        <is>
          <t>TRIZER ATIENO</t>
        </is>
      </c>
      <c r="F47" s="16" t="n">
        <v>1200</v>
      </c>
      <c r="G47" s="96" t="n">
        <v>2200</v>
      </c>
      <c r="H47" s="99" t="n"/>
      <c r="I47" s="99" t="n"/>
      <c r="J47" s="99" t="n"/>
      <c r="K47" s="99" t="n"/>
      <c r="L47" s="97" t="n"/>
      <c r="M47" s="110" t="n"/>
      <c r="N47" s="110" t="n"/>
      <c r="O47" s="110" t="n"/>
      <c r="P47" s="110" t="n"/>
      <c r="Q47" s="110" t="n"/>
      <c r="R47" s="17" t="n">
        <v>200</v>
      </c>
      <c r="S47" s="17" t="n"/>
      <c r="T47" s="17" t="n"/>
      <c r="U47" s="17" t="n"/>
      <c r="V47" s="17" t="n">
        <v>200</v>
      </c>
      <c r="W47" s="17" t="n"/>
      <c r="X47" s="17" t="n">
        <v>200</v>
      </c>
      <c r="Y47" s="17" t="n"/>
      <c r="Z47" s="17" t="n"/>
      <c r="AA47" s="17" t="n"/>
      <c r="AB47" s="17" t="n"/>
      <c r="AC47" s="17" t="n"/>
      <c r="AD47" s="1" t="n">
        <v>2800</v>
      </c>
    </row>
    <row r="48">
      <c r="C48" s="15" t="inlineStr">
        <is>
          <t>37</t>
        </is>
      </c>
      <c r="D48" s="92" t="n">
        <v>1687</v>
      </c>
      <c r="E48" s="45" t="inlineStr">
        <is>
          <t>MAUREEN OUMA</t>
        </is>
      </c>
      <c r="F48" s="16" t="n">
        <v>1800</v>
      </c>
      <c r="G48" s="96" t="n">
        <v>2200</v>
      </c>
      <c r="H48" s="99" t="n"/>
      <c r="I48" s="99" t="n"/>
      <c r="J48" s="99" t="n"/>
      <c r="K48" s="99" t="n"/>
      <c r="L48" s="97" t="n"/>
      <c r="M48" s="110" t="n"/>
      <c r="N48" s="110" t="n"/>
      <c r="O48" s="110" t="n"/>
      <c r="P48" s="110" t="n"/>
      <c r="Q48" s="110" t="n"/>
      <c r="R48" s="17" t="n"/>
      <c r="S48" s="17" t="n"/>
      <c r="T48" s="17" t="n">
        <v>200</v>
      </c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" t="n">
        <v>3800</v>
      </c>
    </row>
    <row r="49">
      <c r="C49" s="15" t="inlineStr">
        <is>
          <t>38</t>
        </is>
      </c>
      <c r="D49" s="92" t="n">
        <v>1691</v>
      </c>
      <c r="E49" s="45" t="inlineStr">
        <is>
          <t>WHITNEY OCCHIENG</t>
        </is>
      </c>
      <c r="F49" s="16" t="n">
        <v>1600</v>
      </c>
      <c r="G49" s="96" t="n">
        <v>2200</v>
      </c>
      <c r="H49" s="99" t="n"/>
      <c r="I49" s="99" t="n"/>
      <c r="J49" s="99" t="n"/>
      <c r="K49" s="99" t="n"/>
      <c r="L49" s="97" t="n"/>
      <c r="M49" s="110" t="n"/>
      <c r="N49" s="110" t="n"/>
      <c r="O49" s="110" t="n"/>
      <c r="P49" s="110" t="n"/>
      <c r="Q49" s="110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" t="n">
        <v>3800</v>
      </c>
    </row>
    <row r="50">
      <c r="C50" s="15" t="inlineStr">
        <is>
          <t>ww</t>
        </is>
      </c>
      <c r="D50" s="92" t="n">
        <v>1692</v>
      </c>
      <c r="E50" s="45" t="inlineStr">
        <is>
          <t>SAUMU AWINO</t>
        </is>
      </c>
      <c r="F50" s="16" t="n">
        <v>1400</v>
      </c>
      <c r="G50" s="96" t="n">
        <v>2200</v>
      </c>
      <c r="H50" s="99" t="n"/>
      <c r="I50" s="99" t="n"/>
      <c r="J50" s="99" t="n"/>
      <c r="K50" s="99" t="n"/>
      <c r="L50" s="97" t="n"/>
      <c r="M50" s="110" t="n"/>
      <c r="N50" s="110" t="n"/>
      <c r="O50" s="110" t="n"/>
      <c r="P50" s="110" t="n"/>
      <c r="Q50" s="110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" t="n">
        <v>3600</v>
      </c>
    </row>
    <row r="51">
      <c r="C51" s="15" t="inlineStr">
        <is>
          <t>40</t>
        </is>
      </c>
      <c r="D51" s="92" t="n">
        <v>1694</v>
      </c>
      <c r="E51" s="92" t="inlineStr">
        <is>
          <t>MARYANE ACHIENG</t>
        </is>
      </c>
      <c r="F51" s="16" t="n">
        <v>1800</v>
      </c>
      <c r="G51" s="96" t="n">
        <v>2200</v>
      </c>
      <c r="H51" s="99" t="n"/>
      <c r="I51" s="99" t="n"/>
      <c r="J51" s="99" t="n"/>
      <c r="K51" s="99" t="n"/>
      <c r="L51" s="97" t="n"/>
      <c r="M51" s="110" t="n"/>
      <c r="N51" s="110" t="n"/>
      <c r="O51" s="110" t="n"/>
      <c r="P51" s="110" t="n"/>
      <c r="Q51" s="110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" t="n">
        <v>4000</v>
      </c>
    </row>
    <row r="52">
      <c r="C52" s="15" t="inlineStr">
        <is>
          <t>41</t>
        </is>
      </c>
      <c r="D52" s="92" t="n">
        <v>1697</v>
      </c>
      <c r="E52" s="92" t="inlineStr">
        <is>
          <t>VIVIAN AOKO</t>
        </is>
      </c>
      <c r="F52" s="16" t="n">
        <v>300</v>
      </c>
      <c r="G52" s="98" t="n">
        <v>2200</v>
      </c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7" t="n"/>
      <c r="R52" s="17" t="n"/>
      <c r="S52" s="17" t="n"/>
      <c r="T52" s="57" t="n"/>
      <c r="U52" s="17" t="n"/>
      <c r="V52" s="17" t="n">
        <v>600</v>
      </c>
      <c r="W52" s="17" t="n"/>
      <c r="X52" s="17" t="n"/>
      <c r="Y52" s="17" t="n"/>
      <c r="Z52" s="17" t="n"/>
      <c r="AA52" s="17" t="n"/>
      <c r="AB52" s="17" t="n"/>
      <c r="AC52" s="17" t="n"/>
      <c r="AD52" s="1" t="n">
        <v>1900</v>
      </c>
    </row>
    <row r="53">
      <c r="C53" s="15" t="inlineStr">
        <is>
          <t>42</t>
        </is>
      </c>
      <c r="D53" s="92" t="n">
        <v>1703</v>
      </c>
      <c r="E53" s="45" t="inlineStr">
        <is>
          <t>VANESSA AWINO</t>
        </is>
      </c>
      <c r="F53" s="16" t="n">
        <v>0</v>
      </c>
      <c r="G53" s="96" t="n">
        <v>2200</v>
      </c>
      <c r="H53" s="99" t="n"/>
      <c r="I53" s="99" t="n"/>
      <c r="J53" s="99" t="n"/>
      <c r="K53" s="99" t="n"/>
      <c r="L53" s="97" t="n"/>
      <c r="M53" s="110" t="n"/>
      <c r="N53" s="110" t="n"/>
      <c r="O53" s="110" t="n"/>
      <c r="P53" s="110" t="n"/>
      <c r="Q53" s="110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" t="n">
        <v>2200</v>
      </c>
    </row>
    <row r="54">
      <c r="C54" s="15" t="inlineStr">
        <is>
          <t>43</t>
        </is>
      </c>
      <c r="D54" s="92" t="n">
        <v>1773</v>
      </c>
      <c r="E54" s="23" t="inlineStr">
        <is>
          <t>VERONICA ANINDO</t>
        </is>
      </c>
      <c r="F54" s="16" t="n">
        <v>0</v>
      </c>
      <c r="G54" s="96" t="n">
        <v>2200</v>
      </c>
      <c r="H54" s="99" t="n"/>
      <c r="I54" s="99" t="n"/>
      <c r="J54" s="99" t="n"/>
      <c r="K54" s="99" t="n"/>
      <c r="L54" s="97" t="n"/>
      <c r="M54" s="110" t="n"/>
      <c r="N54" s="110" t="n"/>
      <c r="O54" s="110" t="n"/>
      <c r="P54" s="110" t="n"/>
      <c r="Q54" s="110" t="n"/>
      <c r="R54" s="17" t="n"/>
      <c r="S54" s="17" t="n"/>
      <c r="T54" s="20" t="n"/>
      <c r="U54" s="20" t="n"/>
      <c r="V54" s="20" t="n">
        <v>1500</v>
      </c>
      <c r="W54" s="20" t="n"/>
      <c r="X54" s="20" t="n"/>
      <c r="Y54" s="20" t="n"/>
      <c r="Z54" s="63" t="n"/>
      <c r="AA54" s="20" t="n"/>
      <c r="AB54" s="20" t="n"/>
      <c r="AC54" s="20" t="n"/>
      <c r="AD54" s="11" t="n">
        <v>700</v>
      </c>
    </row>
    <row r="55">
      <c r="C55" s="15" t="inlineStr">
        <is>
          <t>44</t>
        </is>
      </c>
      <c r="D55" s="92" t="n">
        <v>1806</v>
      </c>
      <c r="E55" s="92" t="inlineStr">
        <is>
          <t>IDA  AKINYI</t>
        </is>
      </c>
      <c r="F55" s="16" t="n">
        <v>0</v>
      </c>
      <c r="G55" s="96" t="n">
        <v>2200</v>
      </c>
      <c r="H55" s="99" t="n"/>
      <c r="I55" s="99" t="n"/>
      <c r="J55" s="99" t="n"/>
      <c r="K55" s="99" t="n"/>
      <c r="L55" s="97" t="n"/>
      <c r="M55" s="110" t="n"/>
      <c r="N55" s="110" t="n"/>
      <c r="O55" s="110" t="n"/>
      <c r="P55" s="110" t="n"/>
      <c r="Q55" s="110" t="n"/>
      <c r="R55" s="17" t="n">
        <v>200</v>
      </c>
      <c r="S55" s="17" t="n"/>
      <c r="T55" s="20" t="n">
        <v>400</v>
      </c>
      <c r="U55" s="20" t="n"/>
      <c r="V55" s="20" t="n"/>
      <c r="W55" s="20" t="n"/>
      <c r="X55" s="20" t="n"/>
      <c r="Y55" s="20" t="n"/>
      <c r="Z55" s="20" t="n">
        <v>300</v>
      </c>
      <c r="AA55" s="20" t="n"/>
      <c r="AB55" s="20" t="n">
        <v>1300</v>
      </c>
      <c r="AC55" s="20" t="n"/>
      <c r="AD55" s="11" t="n">
        <v>0</v>
      </c>
    </row>
    <row r="56">
      <c r="C56" s="15" t="inlineStr">
        <is>
          <t>45</t>
        </is>
      </c>
      <c r="D56" s="92" t="n">
        <v>1811</v>
      </c>
      <c r="E56" s="92" t="inlineStr">
        <is>
          <t>FLORENCE ODHIAMBO</t>
        </is>
      </c>
      <c r="F56" s="16" t="n">
        <v>950</v>
      </c>
      <c r="G56" s="96" t="n">
        <v>2200</v>
      </c>
      <c r="H56" s="99" t="n"/>
      <c r="I56" s="99" t="n"/>
      <c r="J56" s="99" t="n"/>
      <c r="K56" s="99" t="n"/>
      <c r="L56" s="97" t="n"/>
      <c r="M56" s="110" t="n"/>
      <c r="N56" s="110" t="n"/>
      <c r="O56" s="110" t="n"/>
      <c r="P56" s="110" t="n"/>
      <c r="Q56" s="110" t="n"/>
      <c r="R56" s="17" t="n"/>
      <c r="S56" s="17" t="n"/>
      <c r="T56" s="20" t="n">
        <v>250</v>
      </c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11" t="n">
        <v>2900</v>
      </c>
    </row>
    <row r="57">
      <c r="C57" s="15" t="inlineStr">
        <is>
          <t>46</t>
        </is>
      </c>
      <c r="D57" s="92" t="n">
        <v>1814</v>
      </c>
      <c r="E57" s="92" t="inlineStr">
        <is>
          <t>SHEILA AKOTH</t>
        </is>
      </c>
      <c r="F57" s="16" t="n">
        <v>1000</v>
      </c>
      <c r="G57" s="96" t="n">
        <v>2200</v>
      </c>
      <c r="H57" s="99" t="n"/>
      <c r="I57" s="99" t="n"/>
      <c r="J57" s="99" t="n"/>
      <c r="K57" s="99" t="n"/>
      <c r="L57" s="97" t="n"/>
      <c r="M57" s="110" t="n"/>
      <c r="N57" s="110" t="n"/>
      <c r="O57" s="110" t="n"/>
      <c r="P57" s="110" t="n"/>
      <c r="Q57" s="110" t="n"/>
      <c r="R57" s="17" t="n">
        <v>500</v>
      </c>
      <c r="S57" s="17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11" t="n">
        <v>2700</v>
      </c>
    </row>
    <row r="58">
      <c r="C58" s="15" t="inlineStr">
        <is>
          <t>47</t>
        </is>
      </c>
      <c r="D58" s="92" t="n">
        <v>1816</v>
      </c>
      <c r="E58" s="92" t="inlineStr">
        <is>
          <t>MELVIN AWINO</t>
        </is>
      </c>
      <c r="F58" s="16" t="n">
        <v>200</v>
      </c>
      <c r="G58" s="96" t="n">
        <v>2200</v>
      </c>
      <c r="H58" s="99" t="n"/>
      <c r="I58" s="99" t="n"/>
      <c r="J58" s="99" t="n"/>
      <c r="K58" s="99" t="n"/>
      <c r="L58" s="97" t="n"/>
      <c r="M58" s="110" t="n"/>
      <c r="N58" s="110" t="n"/>
      <c r="O58" s="110" t="n"/>
      <c r="P58" s="110" t="n"/>
      <c r="Q58" s="110" t="n"/>
      <c r="R58" s="17" t="n"/>
      <c r="S58" s="17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11" t="n">
        <v>2400</v>
      </c>
    </row>
    <row r="59">
      <c r="C59" s="15" t="inlineStr">
        <is>
          <t>49</t>
        </is>
      </c>
      <c r="D59" s="92" t="n">
        <v>1832</v>
      </c>
      <c r="E59" s="45" t="inlineStr">
        <is>
          <t>BENTER ANYANGO</t>
        </is>
      </c>
      <c r="F59" s="16" t="n">
        <v>0</v>
      </c>
      <c r="G59" s="96" t="n">
        <v>2200</v>
      </c>
      <c r="H59" s="99" t="n"/>
      <c r="I59" s="99" t="n"/>
      <c r="J59" s="99" t="n"/>
      <c r="K59" s="99" t="n"/>
      <c r="L59" s="97" t="n"/>
      <c r="M59" s="110" t="n"/>
      <c r="N59" s="110" t="n"/>
      <c r="O59" s="110" t="n"/>
      <c r="P59" s="110" t="n"/>
      <c r="Q59" s="110" t="n"/>
      <c r="R59" s="17" t="n"/>
      <c r="S59" s="17" t="n"/>
      <c r="T59" s="20" t="n">
        <v>700</v>
      </c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11" t="n">
        <v>1500</v>
      </c>
    </row>
    <row r="60">
      <c r="C60" s="15" t="inlineStr">
        <is>
          <t>50</t>
        </is>
      </c>
      <c r="D60" s="92" t="n">
        <v>1835</v>
      </c>
      <c r="E60" s="45" t="inlineStr">
        <is>
          <t>HAIRIA AKUMU</t>
        </is>
      </c>
      <c r="F60" s="16" t="n">
        <v>0</v>
      </c>
      <c r="G60" s="96" t="n">
        <v>2200</v>
      </c>
      <c r="H60" s="99" t="n"/>
      <c r="I60" s="99" t="n"/>
      <c r="J60" s="99" t="n"/>
      <c r="K60" s="99" t="n"/>
      <c r="L60" s="97" t="n"/>
      <c r="M60" s="110" t="n"/>
      <c r="N60" s="110" t="n"/>
      <c r="O60" s="110" t="n"/>
      <c r="P60" s="110" t="n"/>
      <c r="Q60" s="110" t="n"/>
      <c r="R60" s="17" t="n"/>
      <c r="S60" s="17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>
        <v>800</v>
      </c>
      <c r="AC60" s="20" t="n"/>
      <c r="AD60" s="11" t="n">
        <v>1400</v>
      </c>
    </row>
    <row r="61">
      <c r="C61" s="15" t="inlineStr">
        <is>
          <t>51</t>
        </is>
      </c>
      <c r="D61" s="92" t="n">
        <v>1847</v>
      </c>
      <c r="E61" s="45" t="inlineStr">
        <is>
          <t>STACY AUMA</t>
        </is>
      </c>
      <c r="F61" s="16" t="n">
        <v>0</v>
      </c>
      <c r="G61" s="96" t="n">
        <v>2200</v>
      </c>
      <c r="H61" s="99" t="n"/>
      <c r="I61" s="99" t="n"/>
      <c r="J61" s="99" t="n"/>
      <c r="K61" s="99" t="n"/>
      <c r="L61" s="97" t="n"/>
      <c r="M61" s="110" t="n"/>
      <c r="N61" s="110" t="n"/>
      <c r="O61" s="110" t="n"/>
      <c r="P61" s="110" t="n"/>
      <c r="Q61" s="110" t="n"/>
      <c r="R61" s="17" t="n"/>
      <c r="S61" s="17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11" t="n">
        <v>2200</v>
      </c>
    </row>
    <row r="62">
      <c r="C62" s="15" t="inlineStr">
        <is>
          <t>52</t>
        </is>
      </c>
      <c r="D62" s="92" t="n">
        <v>1849</v>
      </c>
      <c r="E62" s="45" t="inlineStr">
        <is>
          <t>MACRINE AUMA</t>
        </is>
      </c>
      <c r="F62" s="16" t="n">
        <v>0</v>
      </c>
      <c r="G62" s="96" t="n">
        <v>2200</v>
      </c>
      <c r="H62" s="99" t="n"/>
      <c r="I62" s="99" t="n"/>
      <c r="J62" s="99" t="n"/>
      <c r="K62" s="99" t="n"/>
      <c r="L62" s="97" t="n"/>
      <c r="M62" s="110" t="n"/>
      <c r="N62" s="110" t="n"/>
      <c r="O62" s="110" t="n"/>
      <c r="P62" s="110" t="n"/>
      <c r="Q62" s="110" t="n"/>
      <c r="R62" s="17" t="n"/>
      <c r="S62" s="17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>
        <v>800</v>
      </c>
      <c r="AC62" s="20" t="n"/>
      <c r="AD62" s="11" t="n">
        <v>1400</v>
      </c>
    </row>
    <row r="63">
      <c r="C63" s="15" t="inlineStr">
        <is>
          <t>53</t>
        </is>
      </c>
      <c r="D63" s="92" t="n">
        <v>1850</v>
      </c>
      <c r="E63" s="45" t="inlineStr">
        <is>
          <t>SHARON WESONGA</t>
        </is>
      </c>
      <c r="F63" s="16" t="n">
        <v>0</v>
      </c>
      <c r="G63" s="96" t="n">
        <v>2200</v>
      </c>
      <c r="H63" s="99" t="n"/>
      <c r="I63" s="99" t="n"/>
      <c r="J63" s="99" t="n"/>
      <c r="K63" s="99" t="n"/>
      <c r="L63" s="97" t="n"/>
      <c r="M63" s="110" t="n"/>
      <c r="N63" s="110" t="n"/>
      <c r="O63" s="110" t="n"/>
      <c r="P63" s="110" t="n"/>
      <c r="Q63" s="110" t="n"/>
      <c r="R63" s="17" t="n"/>
      <c r="S63" s="17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11" t="n">
        <v>2200</v>
      </c>
    </row>
    <row r="64">
      <c r="C64" s="15" t="inlineStr">
        <is>
          <t>55</t>
        </is>
      </c>
      <c r="D64" s="92" t="n">
        <v>1852</v>
      </c>
      <c r="E64" s="45" t="inlineStr">
        <is>
          <t>MONICA OUMA</t>
        </is>
      </c>
      <c r="F64" s="16" t="n">
        <v>0</v>
      </c>
      <c r="G64" s="96" t="n">
        <v>2200</v>
      </c>
      <c r="H64" s="99" t="n"/>
      <c r="I64" s="99" t="n"/>
      <c r="J64" s="99" t="n"/>
      <c r="K64" s="99" t="n"/>
      <c r="L64" s="97" t="n"/>
      <c r="M64" s="110" t="n"/>
      <c r="N64" s="110" t="n"/>
      <c r="O64" s="110" t="n"/>
      <c r="P64" s="110" t="n"/>
      <c r="Q64" s="110" t="n"/>
      <c r="R64" s="17" t="n"/>
      <c r="S64" s="17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>
        <v>600</v>
      </c>
      <c r="AC64" s="20" t="n"/>
      <c r="AD64" s="11" t="n">
        <v>1600</v>
      </c>
    </row>
    <row r="65">
      <c r="C65" s="15" t="inlineStr">
        <is>
          <t>56</t>
        </is>
      </c>
      <c r="D65" s="92" t="n">
        <v>1853</v>
      </c>
      <c r="E65" s="45" t="inlineStr">
        <is>
          <t>CYNTHIA ANYANGO</t>
        </is>
      </c>
      <c r="F65" s="16" t="n">
        <v>0</v>
      </c>
      <c r="G65" s="96" t="n">
        <v>2200</v>
      </c>
      <c r="H65" s="99" t="n"/>
      <c r="I65" s="99" t="n"/>
      <c r="J65" s="99" t="n"/>
      <c r="K65" s="99" t="n"/>
      <c r="L65" s="97" t="n"/>
      <c r="M65" s="110" t="n"/>
      <c r="N65" s="110" t="n"/>
      <c r="O65" s="110" t="n"/>
      <c r="P65" s="110" t="n"/>
      <c r="Q65" s="110" t="n"/>
      <c r="R65" s="17" t="n"/>
      <c r="S65" s="17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11" t="n">
        <v>2200</v>
      </c>
    </row>
    <row r="66">
      <c r="C66" s="15" t="inlineStr">
        <is>
          <t>57</t>
        </is>
      </c>
      <c r="D66" s="92" t="n">
        <v>1929</v>
      </c>
      <c r="E66" s="45" t="inlineStr">
        <is>
          <t>WINNIE  AKINYI</t>
        </is>
      </c>
      <c r="F66" s="19" t="n">
        <v>0</v>
      </c>
      <c r="G66" s="96" t="n">
        <v>2200</v>
      </c>
      <c r="H66" s="99" t="n"/>
      <c r="I66" s="99" t="n"/>
      <c r="J66" s="99" t="n"/>
      <c r="K66" s="99" t="n"/>
      <c r="L66" s="97" t="n"/>
      <c r="M66" s="110" t="n"/>
      <c r="N66" s="110" t="n"/>
      <c r="O66" s="110" t="n"/>
      <c r="P66" s="110" t="n"/>
      <c r="Q66" s="110" t="n"/>
      <c r="R66" s="17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11" t="n">
        <v>2200</v>
      </c>
    </row>
    <row r="67" ht="14.25" customHeight="1" s="101" thickBot="1">
      <c r="C67" s="21" t="n"/>
      <c r="D67" s="21" t="n"/>
      <c r="E67" s="22" t="inlineStr">
        <is>
          <t>TOTAL</t>
        </is>
      </c>
      <c r="F67" s="7">
        <f>SUM(F37:F66)</f>
        <v/>
      </c>
      <c r="G67" s="8">
        <f>SUM(G37:G66)</f>
        <v/>
      </c>
      <c r="H67" s="8">
        <f>SUM(H37:H50)</f>
        <v/>
      </c>
      <c r="I67" s="8">
        <f>SUM(I37:I50)</f>
        <v/>
      </c>
      <c r="J67" s="8">
        <f>SUM(J37:J50)</f>
        <v/>
      </c>
      <c r="K67" s="8">
        <f>SUM(K37:K50)</f>
        <v/>
      </c>
      <c r="L67" s="8">
        <f>SUM(L37:L50)</f>
        <v/>
      </c>
      <c r="M67" s="8">
        <f>SUM(M37:M50)</f>
        <v/>
      </c>
      <c r="N67" s="8">
        <f>SUM(N37:N50)</f>
        <v/>
      </c>
      <c r="O67" s="8">
        <f>SUM(O37:O50)</f>
        <v/>
      </c>
      <c r="P67" s="8">
        <f>SUM(P37:P50)</f>
        <v/>
      </c>
      <c r="Q67" s="8">
        <f>SUM(Q37:Q50)</f>
        <v/>
      </c>
      <c r="R67" s="8">
        <f>SUM(R37:R66)</f>
        <v/>
      </c>
      <c r="S67" s="8">
        <f>SUM(S37:S66)</f>
        <v/>
      </c>
      <c r="T67" s="8">
        <f>SUM(T37:T66)</f>
        <v/>
      </c>
      <c r="U67" s="8">
        <f>SUM(U37:U50)</f>
        <v/>
      </c>
      <c r="V67" s="8">
        <f>SUM(V37:V66)</f>
        <v/>
      </c>
      <c r="W67" s="8">
        <f>SUM(W37:W66)</f>
        <v/>
      </c>
      <c r="X67" s="8">
        <f>SUM(X37:X66)</f>
        <v/>
      </c>
      <c r="Y67" s="8">
        <f>SUM(Y37:Y66)</f>
        <v/>
      </c>
      <c r="Z67" s="8">
        <f>SUM(Z37:Z66)</f>
        <v/>
      </c>
      <c r="AA67" s="8">
        <f>SUM(AA37:AA66)</f>
        <v/>
      </c>
      <c r="AB67" s="8">
        <f>SUM(AB37:AB66)</f>
        <v/>
      </c>
      <c r="AC67" s="8">
        <f>SUM(AC37:AC66)</f>
        <v/>
      </c>
      <c r="AD67" s="9">
        <f>SUM(AD37:AD66)</f>
        <v/>
      </c>
    </row>
    <row r="68" ht="24" customHeight="1" s="101">
      <c r="C68" s="33" t="n"/>
      <c r="D68" s="33" t="n"/>
      <c r="E68" s="34" t="n"/>
      <c r="F68" s="30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2" t="n"/>
    </row>
    <row r="69">
      <c r="C69" s="33" t="n"/>
      <c r="D69" s="33" t="n"/>
      <c r="E69" s="34" t="inlineStr">
        <is>
          <t>TOTAL COLLECTION 2025 (3A)</t>
        </is>
      </c>
      <c r="F69" s="30">
        <f>SUM(R67,S67,T67,U67,V67,W67,X67,Y67,Z67,AB67,AC67)+G69</f>
        <v/>
      </c>
      <c r="G69" s="31" t="n">
        <v>21400</v>
      </c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2" t="n"/>
    </row>
    <row r="70" ht="18" customHeight="1" s="101">
      <c r="C70" s="100" t="inlineStr">
        <is>
          <t>KIREMBE SECONDARY SCHOOL.</t>
        </is>
      </c>
    </row>
    <row r="71">
      <c r="C71" s="108" t="inlineStr">
        <is>
          <t>FEE REGISTER(LUNCH)2025   FORM 3 C</t>
        </is>
      </c>
      <c r="G71" s="14" t="n"/>
      <c r="R71" s="14" t="inlineStr">
        <is>
          <t>1ST TERM</t>
        </is>
      </c>
      <c r="W71" s="14" t="inlineStr">
        <is>
          <t>2ND TERM</t>
        </is>
      </c>
      <c r="X71" s="14" t="n"/>
      <c r="Z71" s="14" t="inlineStr">
        <is>
          <t>3RD TERM</t>
        </is>
      </c>
    </row>
    <row r="72">
      <c r="C72" s="36" t="inlineStr">
        <is>
          <t>NO.</t>
        </is>
      </c>
      <c r="D72" s="85" t="inlineStr">
        <is>
          <t>ADM</t>
        </is>
      </c>
      <c r="E72" t="inlineStr">
        <is>
          <t>NAME</t>
        </is>
      </c>
      <c r="G72" s="103" t="inlineStr">
        <is>
          <t>DEBT</t>
        </is>
      </c>
      <c r="R72" s="104" t="inlineStr">
        <is>
          <t>REPAYMENT</t>
        </is>
      </c>
    </row>
    <row r="73">
      <c r="C73" s="12" t="n"/>
      <c r="D73" s="12" t="n"/>
      <c r="E73" s="13" t="n"/>
      <c r="F73" s="13" t="inlineStr">
        <is>
          <t>ARREAS</t>
        </is>
      </c>
      <c r="G73" s="105" t="n">
        <v>2025</v>
      </c>
      <c r="H73" s="106" t="n"/>
      <c r="I73" s="106" t="n"/>
      <c r="J73" s="106" t="n"/>
      <c r="K73" s="106" t="n"/>
      <c r="L73" s="106" t="n"/>
      <c r="M73" s="106" t="n"/>
      <c r="N73" s="106" t="n"/>
      <c r="O73" s="106" t="n"/>
      <c r="P73" s="106" t="n"/>
      <c r="Q73" s="106" t="n"/>
      <c r="R73" s="13" t="inlineStr">
        <is>
          <t>JAN</t>
        </is>
      </c>
      <c r="S73" s="13" t="inlineStr">
        <is>
          <t>FEB</t>
        </is>
      </c>
      <c r="T73" s="13" t="inlineStr">
        <is>
          <t>MAR</t>
        </is>
      </c>
      <c r="U73" s="13" t="inlineStr">
        <is>
          <t>APR</t>
        </is>
      </c>
      <c r="V73" s="13" t="inlineStr">
        <is>
          <t>MAY</t>
        </is>
      </c>
      <c r="W73" s="13" t="inlineStr">
        <is>
          <t>JUN</t>
        </is>
      </c>
      <c r="X73" s="13" t="inlineStr">
        <is>
          <t>JUL</t>
        </is>
      </c>
      <c r="Y73" s="13" t="inlineStr">
        <is>
          <t>AUG</t>
        </is>
      </c>
      <c r="Z73" s="13" t="inlineStr">
        <is>
          <t>SEP</t>
        </is>
      </c>
      <c r="AA73" s="13" t="inlineStr">
        <is>
          <t>OCT</t>
        </is>
      </c>
      <c r="AB73" s="13" t="inlineStr">
        <is>
          <t>NOV</t>
        </is>
      </c>
      <c r="AC73" s="13" t="inlineStr">
        <is>
          <t>PRE PAID</t>
        </is>
      </c>
      <c r="AD73" s="13" t="inlineStr">
        <is>
          <t>BALANCE</t>
        </is>
      </c>
    </row>
    <row r="74">
      <c r="C74" s="15" t="n"/>
      <c r="D74" s="56" t="n"/>
      <c r="E74" s="24" t="inlineStr">
        <is>
          <t>BALANCE B/D</t>
        </is>
      </c>
      <c r="F74" s="16">
        <f>F67</f>
        <v/>
      </c>
      <c r="G74" s="98">
        <f>G67</f>
        <v/>
      </c>
      <c r="H74" s="99" t="n"/>
      <c r="I74" s="99" t="n"/>
      <c r="J74" s="99" t="n"/>
      <c r="K74" s="99" t="n"/>
      <c r="L74" s="99" t="n"/>
      <c r="M74" s="99" t="n"/>
      <c r="N74" s="99" t="n"/>
      <c r="O74" s="99" t="n"/>
      <c r="P74" s="99" t="n"/>
      <c r="Q74" s="97" t="n"/>
      <c r="R74" s="17">
        <f>R67</f>
        <v/>
      </c>
      <c r="S74" s="17">
        <f>S67</f>
        <v/>
      </c>
      <c r="T74" s="17">
        <f>T67</f>
        <v/>
      </c>
      <c r="U74" s="17">
        <f>U67</f>
        <v/>
      </c>
      <c r="V74" s="17">
        <f>V67</f>
        <v/>
      </c>
      <c r="W74" s="17">
        <f>W67</f>
        <v/>
      </c>
      <c r="X74" s="17">
        <f>X67</f>
        <v/>
      </c>
      <c r="Y74" s="17">
        <f>Y67</f>
        <v/>
      </c>
      <c r="Z74" s="17">
        <f>Z67</f>
        <v/>
      </c>
      <c r="AA74" s="17" t="n"/>
      <c r="AB74" s="17">
        <f>AB67</f>
        <v/>
      </c>
      <c r="AC74" s="17">
        <f>AC67</f>
        <v/>
      </c>
      <c r="AD74" s="1">
        <f>AD67</f>
        <v/>
      </c>
    </row>
    <row r="75">
      <c r="C75" s="15" t="inlineStr">
        <is>
          <t>1</t>
        </is>
      </c>
      <c r="D75" s="44" t="n">
        <v>1606</v>
      </c>
      <c r="E75" s="44" t="inlineStr">
        <is>
          <t>KEVIN OUMA</t>
        </is>
      </c>
      <c r="F75" s="16" t="n">
        <v>2000</v>
      </c>
      <c r="G75" s="98" t="n">
        <v>2200</v>
      </c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7" t="n"/>
      <c r="R75" s="17" t="n"/>
      <c r="S75" s="17" t="n"/>
      <c r="T75" s="17" t="n">
        <v>500</v>
      </c>
      <c r="U75" s="17" t="n"/>
      <c r="V75" s="69" t="n"/>
      <c r="W75" s="17" t="n"/>
      <c r="X75" s="17" t="n"/>
      <c r="Y75" s="17" t="n"/>
      <c r="Z75" s="17" t="n"/>
      <c r="AA75" s="17" t="n"/>
      <c r="AB75" s="17" t="n"/>
      <c r="AC75" s="17" t="n"/>
      <c r="AD75" s="1" t="n">
        <v>3700</v>
      </c>
    </row>
    <row r="76">
      <c r="C76" s="15" t="inlineStr">
        <is>
          <t>2</t>
        </is>
      </c>
      <c r="D76" s="92" t="n">
        <v>1611</v>
      </c>
      <c r="E76" s="92" t="inlineStr">
        <is>
          <t>RICHARD OTIENO</t>
        </is>
      </c>
      <c r="F76" s="16" t="n">
        <v>800</v>
      </c>
      <c r="G76" s="110" t="n">
        <v>2200</v>
      </c>
      <c r="H76" s="99" t="n"/>
      <c r="I76" s="99" t="n"/>
      <c r="J76" s="99" t="n"/>
      <c r="K76" s="99" t="n"/>
      <c r="L76" s="97" t="n"/>
      <c r="M76" s="110" t="n"/>
      <c r="N76" s="110" t="n"/>
      <c r="O76" s="110" t="n"/>
      <c r="P76" s="110" t="n"/>
      <c r="Q76" s="110" t="n"/>
      <c r="R76" s="17" t="n"/>
      <c r="S76" s="17" t="n"/>
      <c r="T76" s="17" t="n"/>
      <c r="U76" s="17" t="n"/>
      <c r="V76" s="17" t="n"/>
      <c r="W76" s="17" t="n"/>
      <c r="X76" s="69" t="n"/>
      <c r="Y76" s="17" t="n"/>
      <c r="Z76" s="17" t="n"/>
      <c r="AA76" s="17" t="n"/>
      <c r="AB76" s="17" t="n"/>
      <c r="AC76" s="17" t="n"/>
      <c r="AD76" s="1" t="n">
        <v>3000</v>
      </c>
    </row>
    <row r="77">
      <c r="C77" s="15" t="inlineStr">
        <is>
          <t>3</t>
        </is>
      </c>
      <c r="D77" s="92" t="n">
        <v>1617</v>
      </c>
      <c r="E77" s="45" t="inlineStr">
        <is>
          <t>KENEDY OWITI</t>
        </is>
      </c>
      <c r="F77" s="77" t="n">
        <v>1700</v>
      </c>
      <c r="G77" s="96" t="n">
        <v>2200</v>
      </c>
      <c r="H77" s="99" t="n"/>
      <c r="I77" s="99" t="n"/>
      <c r="J77" s="99" t="n"/>
      <c r="K77" s="99" t="n"/>
      <c r="L77" s="97" t="n"/>
      <c r="M77" s="110" t="n"/>
      <c r="N77" s="110" t="n"/>
      <c r="O77" s="110" t="n"/>
      <c r="P77" s="110" t="n"/>
      <c r="Q77" s="110" t="n"/>
      <c r="R77" s="17" t="n"/>
      <c r="S77" s="17" t="n"/>
      <c r="T77" s="42" t="n"/>
      <c r="U77" s="42" t="n"/>
      <c r="V77" s="42" t="n"/>
      <c r="W77" s="69" t="n"/>
      <c r="X77" s="42" t="n"/>
      <c r="Y77" s="42" t="n"/>
      <c r="Z77" s="64" t="n"/>
      <c r="AA77" s="42" t="n"/>
      <c r="AB77" s="42" t="n"/>
      <c r="AC77" s="42" t="n"/>
      <c r="AD77" s="43" t="n">
        <v>3900</v>
      </c>
    </row>
    <row r="78">
      <c r="C78" s="15" t="inlineStr">
        <is>
          <t>4</t>
        </is>
      </c>
      <c r="D78" s="54" t="n">
        <v>1620</v>
      </c>
      <c r="E78" s="54" t="inlineStr">
        <is>
          <t>ROJAS ODANYA</t>
        </is>
      </c>
      <c r="F78" s="78" t="n">
        <v>2000</v>
      </c>
      <c r="G78" s="96" t="n">
        <v>2200</v>
      </c>
      <c r="H78" s="99" t="n"/>
      <c r="I78" s="99" t="n"/>
      <c r="J78" s="99" t="n"/>
      <c r="K78" s="99" t="n"/>
      <c r="L78" s="97" t="n"/>
      <c r="M78" s="110" t="n"/>
      <c r="N78" s="110" t="n"/>
      <c r="O78" s="110" t="n"/>
      <c r="P78" s="110" t="n"/>
      <c r="Q78" s="110" t="n"/>
      <c r="R78" s="17" t="n"/>
      <c r="S78" s="17" t="n"/>
      <c r="T78" s="42" t="n"/>
      <c r="U78" s="42" t="n"/>
      <c r="V78" s="42" t="n"/>
      <c r="W78" s="70" t="n"/>
      <c r="X78" s="69" t="n"/>
      <c r="Y78" s="42" t="n"/>
      <c r="Z78" s="42" t="n"/>
      <c r="AA78" s="42" t="n"/>
      <c r="AB78" s="42" t="n"/>
      <c r="AC78" s="42" t="n"/>
      <c r="AD78" s="43" t="n">
        <v>4200</v>
      </c>
    </row>
    <row r="79">
      <c r="C79" s="15" t="inlineStr">
        <is>
          <t>5</t>
        </is>
      </c>
      <c r="D79" s="92" t="n">
        <v>1624</v>
      </c>
      <c r="E79" s="92" t="inlineStr">
        <is>
          <t>PHILIP ODHIAMBO</t>
        </is>
      </c>
      <c r="F79" s="78" t="n">
        <v>600</v>
      </c>
      <c r="G79" s="96" t="n">
        <v>2200</v>
      </c>
      <c r="H79" s="99" t="n"/>
      <c r="I79" s="99" t="n"/>
      <c r="J79" s="99" t="n"/>
      <c r="K79" s="99" t="n"/>
      <c r="L79" s="97" t="n"/>
      <c r="M79" s="110" t="n"/>
      <c r="N79" s="110" t="n"/>
      <c r="O79" s="110" t="n"/>
      <c r="P79" s="110" t="n"/>
      <c r="Q79" s="110" t="n"/>
      <c r="R79" s="17" t="n"/>
      <c r="S79" s="17" t="n"/>
      <c r="T79" s="42" t="n"/>
      <c r="U79" s="42" t="n"/>
      <c r="V79" s="42" t="n"/>
      <c r="W79" s="42" t="n"/>
      <c r="X79" s="69" t="n"/>
      <c r="Y79" s="42" t="n"/>
      <c r="Z79" s="42" t="n"/>
      <c r="AA79" s="42" t="n"/>
      <c r="AB79" s="42" t="n"/>
      <c r="AC79" s="42" t="n"/>
      <c r="AD79" s="43" t="n">
        <v>2800</v>
      </c>
    </row>
    <row r="80">
      <c r="C80" s="15" t="inlineStr">
        <is>
          <t>6</t>
        </is>
      </c>
      <c r="D80" s="92" t="n">
        <v>1625</v>
      </c>
      <c r="E80" s="92" t="inlineStr">
        <is>
          <t>BRIAN  ODHIAMBO</t>
        </is>
      </c>
      <c r="F80" t="n">
        <v>1900</v>
      </c>
      <c r="G80" s="98" t="n">
        <v>2200</v>
      </c>
      <c r="H80" s="99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7" t="n"/>
      <c r="R80" s="17" t="n"/>
      <c r="S80" s="17" t="n"/>
      <c r="T80" s="42" t="n">
        <v>900</v>
      </c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3" t="n">
        <v>3200</v>
      </c>
    </row>
    <row r="81">
      <c r="C81" s="15" t="inlineStr">
        <is>
          <t>7</t>
        </is>
      </c>
      <c r="D81" s="92" t="n">
        <v>1627</v>
      </c>
      <c r="E81" s="45" t="inlineStr">
        <is>
          <t>VINCENT ODHIAMBO</t>
        </is>
      </c>
      <c r="F81" s="78" t="n">
        <v>1800</v>
      </c>
      <c r="G81" s="98" t="n">
        <v>2200</v>
      </c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7" t="n"/>
      <c r="R81" s="17" t="n"/>
      <c r="S81" s="17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3" t="n">
        <v>4000</v>
      </c>
    </row>
    <row r="82">
      <c r="C82" s="15" t="inlineStr">
        <is>
          <t>8</t>
        </is>
      </c>
      <c r="D82" s="92" t="n">
        <v>1630</v>
      </c>
      <c r="E82" s="54" t="inlineStr">
        <is>
          <t>JOHN OTIENO</t>
        </is>
      </c>
      <c r="F82" t="n">
        <v>600</v>
      </c>
      <c r="G82" s="96" t="n">
        <v>2200</v>
      </c>
      <c r="H82" s="99" t="n"/>
      <c r="I82" s="99" t="n"/>
      <c r="J82" s="99" t="n"/>
      <c r="K82" s="99" t="n"/>
      <c r="L82" s="97" t="n"/>
      <c r="M82" s="110" t="n"/>
      <c r="N82" s="110" t="n"/>
      <c r="O82" s="110" t="n"/>
      <c r="P82" s="110" t="n"/>
      <c r="Q82" s="110" t="n"/>
      <c r="R82" s="17" t="n">
        <v>1500</v>
      </c>
      <c r="S82" s="17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3" t="n">
        <v>1300</v>
      </c>
    </row>
    <row r="83">
      <c r="C83" s="15" t="inlineStr">
        <is>
          <t>9</t>
        </is>
      </c>
      <c r="D83" s="92" t="n">
        <v>1634</v>
      </c>
      <c r="E83" s="92" t="inlineStr">
        <is>
          <t>FELIX ODUOR</t>
        </is>
      </c>
      <c r="F83" s="78" t="n">
        <v>2000</v>
      </c>
      <c r="G83" s="96" t="n">
        <v>2200</v>
      </c>
      <c r="H83" s="99" t="n"/>
      <c r="I83" s="99" t="n"/>
      <c r="J83" s="99" t="n"/>
      <c r="K83" s="99" t="n"/>
      <c r="L83" s="97" t="n"/>
      <c r="M83" s="110" t="n"/>
      <c r="N83" s="110" t="n"/>
      <c r="O83" s="110" t="n"/>
      <c r="P83" s="110" t="n"/>
      <c r="Q83" s="110" t="n"/>
      <c r="R83" s="17" t="n"/>
      <c r="S83" s="17" t="n"/>
      <c r="T83" s="42" t="n"/>
      <c r="U83" s="64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3" t="n">
        <v>4200</v>
      </c>
    </row>
    <row r="84">
      <c r="C84" s="15" t="inlineStr">
        <is>
          <t>10</t>
        </is>
      </c>
      <c r="D84" s="92" t="n">
        <v>1635</v>
      </c>
      <c r="E84" s="54" t="inlineStr">
        <is>
          <t>CALVINCE  ODUOR</t>
        </is>
      </c>
      <c r="F84" t="n">
        <v>800</v>
      </c>
      <c r="G84" s="96" t="n">
        <v>2200</v>
      </c>
      <c r="H84" s="99" t="n"/>
      <c r="I84" s="99" t="n"/>
      <c r="J84" s="99" t="n"/>
      <c r="K84" s="99" t="n"/>
      <c r="L84" s="97" t="n"/>
      <c r="M84" s="110" t="n"/>
      <c r="N84" s="110" t="n"/>
      <c r="O84" s="110" t="n"/>
      <c r="P84" s="110" t="n"/>
      <c r="Q84" s="110" t="n"/>
      <c r="R84" s="17" t="n"/>
      <c r="S84" s="17" t="n">
        <v>700</v>
      </c>
      <c r="T84" s="42" t="n"/>
      <c r="U84" s="64" t="n"/>
      <c r="V84" s="53" t="n"/>
      <c r="W84" s="42" t="n"/>
      <c r="X84" s="42" t="n"/>
      <c r="Y84" s="42" t="n">
        <v>400</v>
      </c>
      <c r="Z84" s="42" t="n">
        <v>600</v>
      </c>
      <c r="AA84" s="42" t="n"/>
      <c r="AB84" s="42" t="n"/>
      <c r="AC84" s="42" t="n"/>
      <c r="AD84" s="43" t="n">
        <v>1300</v>
      </c>
    </row>
    <row r="85">
      <c r="C85" s="15" t="inlineStr">
        <is>
          <t>11</t>
        </is>
      </c>
      <c r="D85" s="92" t="n">
        <v>1637</v>
      </c>
      <c r="E85" s="92" t="inlineStr">
        <is>
          <t>HILARY OTIENO</t>
        </is>
      </c>
      <c r="F85" t="n">
        <v>1500</v>
      </c>
      <c r="G85" s="96" t="n">
        <v>2200</v>
      </c>
      <c r="H85" s="99" t="n"/>
      <c r="I85" s="99" t="n"/>
      <c r="J85" s="99" t="n"/>
      <c r="K85" s="99" t="n"/>
      <c r="L85" s="97" t="n"/>
      <c r="M85" s="110" t="n"/>
      <c r="N85" s="110" t="n"/>
      <c r="O85" s="110" t="n"/>
      <c r="P85" s="110" t="n"/>
      <c r="Q85" s="110" t="n"/>
      <c r="R85" s="17" t="n">
        <v>1300</v>
      </c>
      <c r="S85" s="17" t="n"/>
      <c r="T85" s="42" t="n"/>
      <c r="U85" s="64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3" t="n">
        <v>2400</v>
      </c>
    </row>
    <row r="86">
      <c r="C86" s="15" t="inlineStr">
        <is>
          <t>12</t>
        </is>
      </c>
      <c r="D86" s="92" t="n">
        <v>1638</v>
      </c>
      <c r="E86" s="92" t="inlineStr">
        <is>
          <t>TRULY BRANDY</t>
        </is>
      </c>
      <c r="F86" t="n">
        <v>1400</v>
      </c>
      <c r="G86" s="98" t="n">
        <v>2200</v>
      </c>
      <c r="H86" s="99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7" t="n"/>
      <c r="R86" s="17" t="n"/>
      <c r="S86" s="17" t="n"/>
      <c r="T86" s="17" t="n"/>
      <c r="U86" s="64" t="n"/>
      <c r="V86" s="17" t="n"/>
      <c r="W86" s="17" t="n"/>
      <c r="X86" s="17" t="n"/>
      <c r="Y86" s="42" t="n"/>
      <c r="Z86" s="17" t="n"/>
      <c r="AA86" s="17" t="n"/>
      <c r="AB86" s="17" t="n"/>
      <c r="AC86" s="17" t="n"/>
      <c r="AD86" s="1" t="n">
        <v>3600</v>
      </c>
    </row>
    <row r="87">
      <c r="C87" s="15" t="inlineStr">
        <is>
          <t xml:space="preserve">  0</t>
        </is>
      </c>
      <c r="D87" s="92" t="n">
        <v>1639</v>
      </c>
      <c r="E87" s="92" t="inlineStr">
        <is>
          <t>MOSES OTIENO</t>
        </is>
      </c>
      <c r="F87" t="n">
        <v>2000</v>
      </c>
      <c r="G87" s="98" t="n">
        <v>2200</v>
      </c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" t="n">
        <v>4200</v>
      </c>
    </row>
    <row r="88">
      <c r="C88" s="15" t="inlineStr">
        <is>
          <t>14</t>
        </is>
      </c>
      <c r="D88" s="92" t="n">
        <v>1640</v>
      </c>
      <c r="E88" s="92" t="inlineStr">
        <is>
          <t>BRIAN OKOTH</t>
        </is>
      </c>
      <c r="F88" t="n">
        <v>600</v>
      </c>
      <c r="G88" s="96" t="n">
        <v>2200</v>
      </c>
      <c r="H88" s="99" t="n"/>
      <c r="I88" s="99" t="n"/>
      <c r="J88" s="99" t="n"/>
      <c r="K88" s="99" t="n"/>
      <c r="L88" s="97" t="n"/>
      <c r="M88" s="110" t="n"/>
      <c r="N88" s="110" t="n"/>
      <c r="O88" s="110" t="n"/>
      <c r="P88" s="110" t="n"/>
      <c r="Q88" s="110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0" t="n">
        <v>2800</v>
      </c>
    </row>
    <row r="89">
      <c r="C89" s="15" t="inlineStr">
        <is>
          <t>15</t>
        </is>
      </c>
      <c r="D89" s="44" t="n">
        <v>1645</v>
      </c>
      <c r="E89" s="38" t="inlineStr">
        <is>
          <t>NEWTONE ONYANGO</t>
        </is>
      </c>
      <c r="G89" s="96" t="n">
        <v>2200</v>
      </c>
      <c r="H89" s="99" t="n"/>
      <c r="I89" s="99" t="n"/>
      <c r="J89" s="99" t="n"/>
      <c r="K89" s="99" t="n"/>
      <c r="L89" s="97" t="n"/>
      <c r="M89" s="110" t="n"/>
      <c r="N89" s="110" t="n"/>
      <c r="O89" s="110" t="n"/>
      <c r="P89" s="110" t="n"/>
      <c r="Q89" s="110" t="n"/>
      <c r="R89" s="17" t="n"/>
      <c r="S89" s="17" t="n"/>
      <c r="T89" s="17" t="n"/>
      <c r="U89" s="17" t="n"/>
      <c r="V89" s="17" t="n"/>
      <c r="W89" s="17" t="n"/>
      <c r="X89" s="17" t="n">
        <v>500</v>
      </c>
      <c r="Y89" s="17" t="n"/>
      <c r="Z89" s="17" t="n"/>
      <c r="AA89" s="17" t="n"/>
      <c r="AB89" s="17" t="n"/>
      <c r="AC89" s="17" t="n"/>
      <c r="AD89" s="1" t="n">
        <v>1700</v>
      </c>
    </row>
    <row r="90">
      <c r="C90" s="15" t="inlineStr">
        <is>
          <t>16</t>
        </is>
      </c>
      <c r="D90" s="92" t="n">
        <v>1647</v>
      </c>
      <c r="E90" s="92" t="inlineStr">
        <is>
          <t>FIDEL CASTRO</t>
        </is>
      </c>
      <c r="F90" t="n">
        <v>2000</v>
      </c>
      <c r="G90" s="96" t="n">
        <v>2200</v>
      </c>
      <c r="H90" s="99" t="n"/>
      <c r="I90" s="99" t="n"/>
      <c r="J90" s="99" t="n"/>
      <c r="K90" s="99" t="n"/>
      <c r="L90" s="97" t="n"/>
      <c r="M90" s="110" t="n"/>
      <c r="N90" s="110" t="n"/>
      <c r="O90" s="110" t="n"/>
      <c r="P90" s="110" t="n"/>
      <c r="Q90" s="110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" t="n">
        <v>4200</v>
      </c>
    </row>
    <row r="91">
      <c r="C91" s="15" t="inlineStr">
        <is>
          <t>17</t>
        </is>
      </c>
      <c r="D91" s="92" t="n">
        <v>1651</v>
      </c>
      <c r="E91" s="92" t="inlineStr">
        <is>
          <t>JOSEPH OMONDI</t>
        </is>
      </c>
      <c r="F91" t="n">
        <v>900</v>
      </c>
      <c r="G91" s="96" t="n">
        <v>2200</v>
      </c>
      <c r="H91" s="99" t="n"/>
      <c r="I91" s="99" t="n"/>
      <c r="J91" s="99" t="n"/>
      <c r="K91" s="99" t="n"/>
      <c r="L91" s="97" t="n"/>
      <c r="M91" s="110" t="n"/>
      <c r="N91" s="110" t="n"/>
      <c r="O91" s="110" t="n"/>
      <c r="P91" s="110" t="n"/>
      <c r="Q91" s="110" t="n"/>
      <c r="R91" s="17" t="n"/>
      <c r="S91" s="17" t="n"/>
      <c r="T91" s="17" t="n">
        <v>500</v>
      </c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" t="n">
        <v>2600</v>
      </c>
    </row>
    <row r="92">
      <c r="C92" s="15" t="inlineStr">
        <is>
          <t>19</t>
        </is>
      </c>
      <c r="D92" s="92" t="n">
        <v>1653</v>
      </c>
      <c r="E92" s="92" t="inlineStr">
        <is>
          <t>MAURICE OUMA</t>
        </is>
      </c>
      <c r="F92" t="n">
        <v>250</v>
      </c>
      <c r="G92" s="96" t="n">
        <v>2200</v>
      </c>
      <c r="H92" s="99" t="n"/>
      <c r="I92" s="99" t="n"/>
      <c r="J92" s="99" t="n"/>
      <c r="K92" s="99" t="n"/>
      <c r="L92" s="97" t="n"/>
      <c r="M92" s="110" t="n"/>
      <c r="N92" s="110" t="n"/>
      <c r="O92" s="110" t="n"/>
      <c r="P92" s="110" t="n"/>
      <c r="Q92" s="110" t="n"/>
      <c r="R92" s="17" t="n"/>
      <c r="S92" s="17" t="n"/>
      <c r="T92" s="17" t="n">
        <v>250</v>
      </c>
      <c r="U92" s="20" t="n"/>
      <c r="V92" s="17" t="n"/>
      <c r="W92" s="17" t="n"/>
      <c r="X92" s="17" t="n"/>
      <c r="Y92" s="20" t="n"/>
      <c r="Z92" s="17" t="n"/>
      <c r="AA92" s="17" t="n"/>
      <c r="AB92" s="17" t="n"/>
      <c r="AC92" s="17" t="n"/>
      <c r="AD92" s="1" t="n">
        <v>2200</v>
      </c>
    </row>
    <row r="93">
      <c r="C93" s="15" t="inlineStr">
        <is>
          <t>20</t>
        </is>
      </c>
      <c r="D93" s="92" t="n">
        <v>1658</v>
      </c>
      <c r="E93" s="54" t="inlineStr">
        <is>
          <t>EMMANUEL OTIENO</t>
        </is>
      </c>
      <c r="F93" t="n">
        <v>1400</v>
      </c>
      <c r="G93" s="98" t="n">
        <v>2200</v>
      </c>
      <c r="H93" s="99" t="n"/>
      <c r="I93" s="99" t="n"/>
      <c r="J93" s="99" t="n"/>
      <c r="K93" s="99" t="n"/>
      <c r="L93" s="99" t="n"/>
      <c r="M93" s="99" t="n"/>
      <c r="N93" s="99" t="n"/>
      <c r="O93" s="99" t="n"/>
      <c r="P93" s="99" t="n"/>
      <c r="Q93" s="97" t="n"/>
      <c r="R93" s="17" t="n"/>
      <c r="S93" s="17" t="n"/>
      <c r="T93" s="17" t="n">
        <v>500</v>
      </c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" t="n">
        <v>3100</v>
      </c>
    </row>
    <row r="94">
      <c r="C94" s="15" t="inlineStr">
        <is>
          <t>21</t>
        </is>
      </c>
      <c r="D94" s="92" t="n">
        <v>1664</v>
      </c>
      <c r="E94" s="92" t="inlineStr">
        <is>
          <t>FELIX OKELO</t>
        </is>
      </c>
      <c r="F94" t="n">
        <v>2000</v>
      </c>
      <c r="G94" s="98" t="n">
        <v>2200</v>
      </c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" t="n">
        <v>4200</v>
      </c>
    </row>
    <row r="95">
      <c r="C95" s="15" t="inlineStr">
        <is>
          <t>22</t>
        </is>
      </c>
      <c r="D95" s="92" t="n">
        <v>1669</v>
      </c>
      <c r="E95" s="92" t="inlineStr">
        <is>
          <t>BENJAMIN ONYANGO</t>
        </is>
      </c>
      <c r="F95" t="n">
        <v>1600</v>
      </c>
      <c r="G95" s="96" t="n">
        <v>2200</v>
      </c>
      <c r="H95" s="99" t="n"/>
      <c r="I95" s="99" t="n"/>
      <c r="J95" s="99" t="n"/>
      <c r="K95" s="99" t="n"/>
      <c r="L95" s="97" t="n"/>
      <c r="M95" s="110" t="n"/>
      <c r="N95" s="110" t="n"/>
      <c r="O95" s="110" t="n"/>
      <c r="P95" s="110" t="n"/>
      <c r="Q95" s="110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" t="n">
        <v>3800</v>
      </c>
    </row>
    <row r="96">
      <c r="C96" s="15" t="inlineStr">
        <is>
          <t>22</t>
        </is>
      </c>
      <c r="D96" s="92" t="n">
        <v>1673</v>
      </c>
      <c r="E96" s="92" t="inlineStr">
        <is>
          <t>HILTON IMALI</t>
        </is>
      </c>
      <c r="F96" s="77" t="n">
        <v>1800</v>
      </c>
      <c r="G96" s="96" t="n">
        <v>2200</v>
      </c>
      <c r="H96" s="99" t="n"/>
      <c r="I96" s="99" t="n"/>
      <c r="J96" s="99" t="n"/>
      <c r="K96" s="99" t="n"/>
      <c r="L96" s="97" t="n"/>
      <c r="M96" s="110" t="n"/>
      <c r="N96" s="110" t="n"/>
      <c r="O96" s="110" t="n"/>
      <c r="P96" s="110" t="n"/>
      <c r="Q96" s="110" t="n"/>
      <c r="R96" s="17" t="n">
        <v>1100</v>
      </c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" t="n">
        <v>2900</v>
      </c>
    </row>
    <row r="97">
      <c r="C97" s="15" t="inlineStr">
        <is>
          <t>23</t>
        </is>
      </c>
      <c r="D97" s="92" t="n">
        <v>1675</v>
      </c>
      <c r="E97" s="92" t="inlineStr">
        <is>
          <t>ELVINCE OCHIENG</t>
        </is>
      </c>
      <c r="F97" t="n">
        <v>2000</v>
      </c>
      <c r="G97" s="98" t="n">
        <v>2200</v>
      </c>
      <c r="H97" s="99" t="n"/>
      <c r="I97" s="99" t="n"/>
      <c r="J97" s="99" t="n"/>
      <c r="K97" s="99" t="n"/>
      <c r="L97" s="99" t="n"/>
      <c r="M97" s="99" t="n"/>
      <c r="N97" s="99" t="n"/>
      <c r="O97" s="99" t="n"/>
      <c r="P97" s="99" t="n"/>
      <c r="Q97" s="9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" t="n">
        <v>4200</v>
      </c>
    </row>
    <row r="98">
      <c r="C98" s="15" t="inlineStr">
        <is>
          <t>24</t>
        </is>
      </c>
      <c r="D98" s="92" t="n">
        <v>1678</v>
      </c>
      <c r="E98" s="92" t="inlineStr">
        <is>
          <t>SHADRACK OUMA</t>
        </is>
      </c>
      <c r="F98" t="n">
        <v>2000</v>
      </c>
      <c r="G98" s="98" t="n">
        <v>2200</v>
      </c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7" t="n"/>
      <c r="R98" s="17" t="n"/>
      <c r="S98" s="17" t="n"/>
      <c r="T98" s="17" t="n">
        <v>100</v>
      </c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" t="n">
        <v>4100</v>
      </c>
    </row>
    <row r="99">
      <c r="C99" s="15" t="inlineStr">
        <is>
          <t>25</t>
        </is>
      </c>
      <c r="D99" s="92" t="n">
        <v>1682</v>
      </c>
      <c r="E99" s="92" t="inlineStr">
        <is>
          <t>GEORGE AWANDO</t>
        </is>
      </c>
      <c r="F99" t="n">
        <v>1300</v>
      </c>
      <c r="G99" s="96" t="n">
        <v>2200</v>
      </c>
      <c r="H99" s="99" t="n"/>
      <c r="I99" s="99" t="n"/>
      <c r="J99" s="99" t="n"/>
      <c r="K99" s="99" t="n"/>
      <c r="L99" s="97" t="n"/>
      <c r="M99" s="110" t="n"/>
      <c r="N99" s="110" t="n"/>
      <c r="O99" s="110" t="n"/>
      <c r="P99" s="110" t="n"/>
      <c r="Q99" s="110" t="n"/>
      <c r="R99" s="17" t="n">
        <v>200</v>
      </c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" t="n">
        <v>3300</v>
      </c>
    </row>
    <row r="100">
      <c r="C100" s="15" t="inlineStr">
        <is>
          <t>26</t>
        </is>
      </c>
      <c r="D100" s="92" t="n">
        <v>1688</v>
      </c>
      <c r="E100" s="92" t="inlineStr">
        <is>
          <t>ROLLINGS OCHIENG</t>
        </is>
      </c>
      <c r="F100" s="77" t="n">
        <v>1400</v>
      </c>
      <c r="G100" s="96" t="n">
        <v>2200</v>
      </c>
      <c r="H100" s="99" t="n"/>
      <c r="I100" s="99" t="n"/>
      <c r="J100" s="99" t="n"/>
      <c r="K100" s="99" t="n"/>
      <c r="L100" s="97" t="n"/>
      <c r="M100" s="110" t="n"/>
      <c r="N100" s="110" t="n"/>
      <c r="O100" s="110" t="n"/>
      <c r="P100" s="110" t="n"/>
      <c r="Q100" s="110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" t="n">
        <v>3600</v>
      </c>
    </row>
    <row r="101">
      <c r="C101" s="15" t="inlineStr">
        <is>
          <t>27</t>
        </is>
      </c>
      <c r="D101" s="92" t="n">
        <v>1690</v>
      </c>
      <c r="E101" s="92" t="inlineStr">
        <is>
          <t>JEFF ODHIAMBO</t>
        </is>
      </c>
      <c r="F101" t="n">
        <v>2000</v>
      </c>
      <c r="G101" s="96" t="n">
        <v>2200</v>
      </c>
      <c r="H101" s="99" t="n"/>
      <c r="I101" s="99" t="n"/>
      <c r="J101" s="99" t="n"/>
      <c r="K101" s="99" t="n"/>
      <c r="L101" s="97" t="n"/>
      <c r="M101" s="110" t="n"/>
      <c r="N101" s="110" t="n"/>
      <c r="O101" s="110" t="n"/>
      <c r="P101" s="110" t="n"/>
      <c r="Q101" s="110" t="n"/>
      <c r="R101" s="17" t="n"/>
      <c r="S101" s="42" t="n"/>
      <c r="T101" s="42" t="n"/>
      <c r="U101" s="17" t="n"/>
      <c r="V101" s="42" t="n"/>
      <c r="W101" s="42" t="n"/>
      <c r="X101" s="42" t="n"/>
      <c r="Y101" s="17" t="n"/>
      <c r="Z101" s="42" t="n"/>
      <c r="AA101" s="42" t="n"/>
      <c r="AB101" s="42" t="n"/>
      <c r="AC101" s="42" t="n"/>
      <c r="AD101" s="43" t="n">
        <v>4200</v>
      </c>
    </row>
    <row r="102" ht="15.75" customHeight="1" s="101" thickBot="1">
      <c r="C102" s="15" t="n"/>
      <c r="D102" s="5" t="n"/>
      <c r="E102" s="6" t="inlineStr">
        <is>
          <t>TOTAL</t>
        </is>
      </c>
      <c r="F102" s="7">
        <f>SUM(F74:F101)</f>
        <v/>
      </c>
      <c r="G102" s="8">
        <f>SUM(G74:G101)</f>
        <v/>
      </c>
      <c r="H102" s="8">
        <f>SUM(H74:H91)</f>
        <v/>
      </c>
      <c r="I102" s="8">
        <f>SUM(I74:I91)</f>
        <v/>
      </c>
      <c r="J102" s="8">
        <f>SUM(J74:J91)</f>
        <v/>
      </c>
      <c r="K102" s="8">
        <f>SUM(K74:K91)</f>
        <v/>
      </c>
      <c r="L102" s="8">
        <f>SUM(L74:L91)</f>
        <v/>
      </c>
      <c r="M102" s="8">
        <f>SUM(M74:M91)</f>
        <v/>
      </c>
      <c r="N102" s="8">
        <f>SUM(N74:N91)</f>
        <v/>
      </c>
      <c r="O102" s="8">
        <f>SUM(O74:O91)</f>
        <v/>
      </c>
      <c r="P102" s="8">
        <f>SUM(P74:P91)</f>
        <v/>
      </c>
      <c r="Q102" s="8">
        <f>SUM(Q74:Q91)</f>
        <v/>
      </c>
      <c r="R102" s="8">
        <f>SUM(R74:R101)</f>
        <v/>
      </c>
      <c r="S102" s="8">
        <f>SUM(S74:S101)</f>
        <v/>
      </c>
      <c r="T102" s="8">
        <f>SUM(T74:T101)</f>
        <v/>
      </c>
      <c r="U102" s="42">
        <f>SUM(U74:U101)</f>
        <v/>
      </c>
      <c r="V102" s="8">
        <f>SUM(V74:V101)</f>
        <v/>
      </c>
      <c r="W102" s="8">
        <f>SUM(W74:W101)</f>
        <v/>
      </c>
      <c r="X102" s="8">
        <f>SUM(X74:X101)</f>
        <v/>
      </c>
      <c r="Y102" s="42">
        <f>SUM(Y74:Y101)</f>
        <v/>
      </c>
      <c r="Z102" s="8">
        <f>SUM(Z74:Z101)</f>
        <v/>
      </c>
      <c r="AA102" s="8">
        <f>SUM(AA74:AA101)</f>
        <v/>
      </c>
      <c r="AB102" s="8">
        <f>SUM(AB74:AB101)</f>
        <v/>
      </c>
      <c r="AC102" s="8">
        <f>SUM(AC74:AC101)</f>
        <v/>
      </c>
      <c r="AD102" s="9">
        <f>SUM(AD74:AD101)</f>
        <v/>
      </c>
    </row>
    <row r="103">
      <c r="U103" s="31" t="n"/>
      <c r="Y103" s="31" t="n"/>
    </row>
    <row r="104" ht="18" customHeight="1" s="101">
      <c r="C104" s="100" t="inlineStr">
        <is>
          <t>KIREMBE SECONDARY SCHOOL.</t>
        </is>
      </c>
    </row>
    <row r="105">
      <c r="C105" s="109" t="inlineStr">
        <is>
          <t>FEE REGISTER(LUNCH)2025 FORM 3 C</t>
        </is>
      </c>
      <c r="G105" s="14" t="n"/>
      <c r="R105" s="14" t="inlineStr">
        <is>
          <t>1ST TERM</t>
        </is>
      </c>
      <c r="W105" s="14" t="inlineStr">
        <is>
          <t>2ND TERM</t>
        </is>
      </c>
      <c r="X105" s="14" t="n"/>
      <c r="Z105" s="14" t="inlineStr">
        <is>
          <t>3RD TERM</t>
        </is>
      </c>
    </row>
    <row r="106">
      <c r="C106" s="36" t="inlineStr">
        <is>
          <t>NO.</t>
        </is>
      </c>
      <c r="D106" s="85" t="inlineStr">
        <is>
          <t>ADM</t>
        </is>
      </c>
      <c r="E106" t="inlineStr">
        <is>
          <t>NAME</t>
        </is>
      </c>
      <c r="G106" s="103" t="inlineStr">
        <is>
          <t>DEBT</t>
        </is>
      </c>
      <c r="R106" s="104" t="inlineStr">
        <is>
          <t>REPAYMENT</t>
        </is>
      </c>
      <c r="S106" s="104" t="n"/>
      <c r="T106" s="104" t="n"/>
      <c r="V106" s="104" t="n"/>
      <c r="W106" s="104" t="n"/>
      <c r="X106" s="104" t="n"/>
      <c r="Z106" s="104" t="n"/>
      <c r="AA106" s="104" t="n"/>
      <c r="AB106" s="104" t="n"/>
      <c r="AC106" s="104" t="n"/>
    </row>
    <row r="107">
      <c r="C107" s="12" t="n"/>
      <c r="D107" s="12" t="n"/>
      <c r="E107" s="13" t="n"/>
      <c r="F107" s="13" t="inlineStr">
        <is>
          <t>ARREAS</t>
        </is>
      </c>
      <c r="G107" s="105" t="n">
        <v>2025</v>
      </c>
      <c r="H107" s="106" t="n"/>
      <c r="I107" s="106" t="n"/>
      <c r="J107" s="106" t="n"/>
      <c r="K107" s="106" t="n"/>
      <c r="L107" s="106" t="n"/>
      <c r="M107" s="106" t="n"/>
      <c r="N107" s="106" t="n"/>
      <c r="O107" s="106" t="n"/>
      <c r="P107" s="106" t="n"/>
      <c r="Q107" s="106" t="n"/>
      <c r="R107" s="13" t="inlineStr">
        <is>
          <t>JAN</t>
        </is>
      </c>
      <c r="S107" s="13" t="inlineStr">
        <is>
          <t>FEB</t>
        </is>
      </c>
      <c r="T107" s="13" t="inlineStr">
        <is>
          <t>MAR</t>
        </is>
      </c>
      <c r="U107" s="104" t="inlineStr">
        <is>
          <t>APR</t>
        </is>
      </c>
      <c r="V107" s="13" t="inlineStr">
        <is>
          <t>MAY</t>
        </is>
      </c>
      <c r="W107" s="13" t="inlineStr">
        <is>
          <t>JUN</t>
        </is>
      </c>
      <c r="X107" s="13" t="inlineStr">
        <is>
          <t>JUL</t>
        </is>
      </c>
      <c r="Y107" s="104" t="inlineStr">
        <is>
          <t>AUG</t>
        </is>
      </c>
      <c r="Z107" s="13" t="inlineStr">
        <is>
          <t>SEP</t>
        </is>
      </c>
      <c r="AA107" s="13" t="inlineStr">
        <is>
          <t>OCT</t>
        </is>
      </c>
      <c r="AB107" s="13" t="inlineStr">
        <is>
          <t>NOV</t>
        </is>
      </c>
      <c r="AC107" s="13" t="inlineStr">
        <is>
          <t>PRE PAID</t>
        </is>
      </c>
      <c r="AD107" s="13" t="inlineStr">
        <is>
          <t>BALANCE</t>
        </is>
      </c>
    </row>
    <row r="108">
      <c r="C108" s="15" t="n"/>
      <c r="D108" s="92" t="n"/>
      <c r="E108" s="24" t="inlineStr">
        <is>
          <t>BALANCE B/D</t>
        </is>
      </c>
      <c r="F108" s="28">
        <f>F102</f>
        <v/>
      </c>
      <c r="G108" s="102">
        <f>G102</f>
        <v/>
      </c>
      <c r="H108" s="99" t="n"/>
      <c r="I108" s="99" t="n"/>
      <c r="J108" s="99" t="n"/>
      <c r="K108" s="99" t="n"/>
      <c r="L108" s="99" t="n"/>
      <c r="M108" s="99" t="n"/>
      <c r="N108" s="99" t="n"/>
      <c r="O108" s="99" t="n"/>
      <c r="P108" s="99" t="n"/>
      <c r="Q108" s="97" t="n"/>
      <c r="R108" s="26">
        <f>R102</f>
        <v/>
      </c>
      <c r="S108" s="26">
        <f>S102</f>
        <v/>
      </c>
      <c r="T108" s="26">
        <f>T102</f>
        <v/>
      </c>
      <c r="U108" s="79">
        <f>U102</f>
        <v/>
      </c>
      <c r="V108" s="26">
        <f>V102</f>
        <v/>
      </c>
      <c r="W108" s="26">
        <f>W102</f>
        <v/>
      </c>
      <c r="X108" s="26">
        <f>X102</f>
        <v/>
      </c>
      <c r="Y108" s="79">
        <f>Y102</f>
        <v/>
      </c>
      <c r="Z108" s="26">
        <f>Z102</f>
        <v/>
      </c>
      <c r="AA108" s="26">
        <f>AA102</f>
        <v/>
      </c>
      <c r="AB108" s="26">
        <f>AB102</f>
        <v/>
      </c>
      <c r="AC108" s="26">
        <f>AC102</f>
        <v/>
      </c>
      <c r="AD108" s="29">
        <f>AD102</f>
        <v/>
      </c>
    </row>
    <row r="109">
      <c r="C109" s="15" t="inlineStr">
        <is>
          <t>28</t>
        </is>
      </c>
      <c r="D109" s="92" t="n">
        <v>1693</v>
      </c>
      <c r="E109" s="92" t="inlineStr">
        <is>
          <t>STANELY OMONDI</t>
        </is>
      </c>
      <c r="F109" s="39" t="n">
        <v>1700</v>
      </c>
      <c r="G109" s="96" t="n">
        <v>2200</v>
      </c>
      <c r="H109" s="99" t="n"/>
      <c r="I109" s="99" t="n"/>
      <c r="J109" s="99" t="n"/>
      <c r="K109" s="99" t="n"/>
      <c r="L109" s="97" t="n"/>
      <c r="M109" s="110" t="n"/>
      <c r="N109" s="110" t="n"/>
      <c r="O109" s="110" t="n"/>
      <c r="P109" s="110" t="n"/>
      <c r="Q109" s="110" t="n"/>
      <c r="R109" s="42" t="n"/>
      <c r="S109" s="42" t="n"/>
      <c r="T109" s="42" t="n"/>
      <c r="U109" s="26" t="n"/>
      <c r="V109" s="42" t="n"/>
      <c r="W109" s="42" t="n"/>
      <c r="X109" s="42" t="n"/>
      <c r="Y109" s="26" t="n"/>
      <c r="Z109" s="42" t="n"/>
      <c r="AA109" s="42" t="n"/>
      <c r="AB109" s="42" t="n"/>
      <c r="AC109" s="42" t="n"/>
      <c r="AD109" s="43" t="n">
        <v>3900</v>
      </c>
    </row>
    <row r="110">
      <c r="C110" s="15" t="inlineStr">
        <is>
          <t>29</t>
        </is>
      </c>
      <c r="D110" s="92" t="n">
        <v>1695</v>
      </c>
      <c r="E110" s="54" t="inlineStr">
        <is>
          <t>DANIEL OTIENDE</t>
        </is>
      </c>
      <c r="F110" s="39" t="n">
        <v>2000</v>
      </c>
      <c r="G110" s="96" t="n">
        <v>2200</v>
      </c>
      <c r="H110" s="99" t="n"/>
      <c r="I110" s="99" t="n"/>
      <c r="J110" s="99" t="n"/>
      <c r="K110" s="99" t="n"/>
      <c r="L110" s="97" t="n"/>
      <c r="M110" s="110" t="n"/>
      <c r="N110" s="110" t="n"/>
      <c r="O110" s="110" t="n"/>
      <c r="P110" s="110" t="n"/>
      <c r="Q110" s="110" t="n"/>
      <c r="R110" s="42" t="n">
        <v>2000</v>
      </c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3" t="n">
        <v>2200</v>
      </c>
    </row>
    <row r="111">
      <c r="C111" s="15" t="inlineStr">
        <is>
          <t>30</t>
        </is>
      </c>
      <c r="D111" s="92" t="n">
        <v>1699</v>
      </c>
      <c r="E111" s="92" t="inlineStr">
        <is>
          <t>BRIAN OTIENO AUMA</t>
        </is>
      </c>
      <c r="F111" s="39" t="n">
        <v>1900</v>
      </c>
      <c r="G111" s="98" t="n">
        <v>2200</v>
      </c>
      <c r="H111" s="99" t="n"/>
      <c r="I111" s="99" t="n"/>
      <c r="J111" s="99" t="n"/>
      <c r="K111" s="99" t="n"/>
      <c r="L111" s="99" t="n"/>
      <c r="M111" s="99" t="n"/>
      <c r="N111" s="99" t="n"/>
      <c r="O111" s="99" t="n"/>
      <c r="P111" s="99" t="n"/>
      <c r="Q111" s="97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3" t="n">
        <v>4100</v>
      </c>
    </row>
    <row r="112" hidden="1" s="101">
      <c r="C112" s="15" t="inlineStr">
        <is>
          <t>31</t>
        </is>
      </c>
      <c r="D112" s="92" t="n">
        <v>1702</v>
      </c>
      <c r="E112" s="92" t="inlineStr">
        <is>
          <t>MORGAN ADINO</t>
        </is>
      </c>
      <c r="F112" s="39" t="n"/>
      <c r="G112" s="96" t="n">
        <v>11000</v>
      </c>
      <c r="H112" s="99" t="n"/>
      <c r="I112" s="99" t="n"/>
      <c r="J112" s="99" t="n"/>
      <c r="K112" s="99" t="n"/>
      <c r="L112" s="97" t="n"/>
      <c r="M112" s="110" t="n"/>
      <c r="N112" s="110" t="n"/>
      <c r="O112" s="110" t="n"/>
      <c r="P112" s="110" t="n"/>
      <c r="Q112" s="110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3" t="n">
        <v>11000</v>
      </c>
    </row>
    <row r="113">
      <c r="C113" s="15" t="inlineStr">
        <is>
          <t>31</t>
        </is>
      </c>
      <c r="D113" s="92" t="n">
        <v>1702</v>
      </c>
      <c r="E113" s="92" t="inlineStr">
        <is>
          <t>MORGAN ADINO</t>
        </is>
      </c>
      <c r="F113" s="39" t="n">
        <v>2000</v>
      </c>
      <c r="G113" s="96" t="n">
        <v>2200</v>
      </c>
      <c r="H113" s="99" t="n"/>
      <c r="I113" s="99" t="n"/>
      <c r="J113" s="99" t="n"/>
      <c r="K113" s="99" t="n"/>
      <c r="L113" s="97" t="n"/>
      <c r="M113" s="110" t="n"/>
      <c r="N113" s="110" t="n"/>
      <c r="O113" s="110" t="n"/>
      <c r="P113" s="110" t="n"/>
      <c r="Q113" s="110" t="n"/>
      <c r="R113" s="42" t="n"/>
      <c r="S113" s="42" t="n"/>
      <c r="T113" s="42" t="n"/>
      <c r="U113" s="42" t="n"/>
      <c r="V113" s="17" t="n"/>
      <c r="W113" s="42" t="n"/>
      <c r="X113" s="42" t="n"/>
      <c r="Y113" s="42" t="n"/>
      <c r="Z113" s="42" t="n"/>
      <c r="AA113" s="42" t="n"/>
      <c r="AB113" s="42" t="n"/>
      <c r="AC113" s="42" t="n"/>
      <c r="AD113" s="43" t="n">
        <v>4200</v>
      </c>
    </row>
    <row r="114">
      <c r="C114" s="15" t="inlineStr">
        <is>
          <t>32</t>
        </is>
      </c>
      <c r="D114" s="92" t="n">
        <v>1704</v>
      </c>
      <c r="E114" s="92" t="inlineStr">
        <is>
          <t>SUFIAN OCHIENG</t>
        </is>
      </c>
      <c r="F114" s="39" t="n">
        <v>2000</v>
      </c>
      <c r="G114" s="96" t="n">
        <v>2200</v>
      </c>
      <c r="H114" s="99" t="n"/>
      <c r="I114" s="99" t="n"/>
      <c r="J114" s="99" t="n"/>
      <c r="K114" s="99" t="n"/>
      <c r="L114" s="97" t="n"/>
      <c r="M114" s="110" t="n"/>
      <c r="N114" s="110" t="n"/>
      <c r="O114" s="110" t="n"/>
      <c r="P114" s="110" t="n"/>
      <c r="Q114" s="110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3" t="n">
        <v>4200</v>
      </c>
    </row>
    <row r="115">
      <c r="C115" s="15" t="inlineStr">
        <is>
          <t>33</t>
        </is>
      </c>
      <c r="D115" s="38" t="n">
        <v>1750</v>
      </c>
      <c r="E115" s="38" t="inlineStr">
        <is>
          <t>KHALID OKECH</t>
        </is>
      </c>
      <c r="F115" s="39" t="n"/>
      <c r="G115" s="96" t="n">
        <v>2200</v>
      </c>
      <c r="H115" s="99" t="n"/>
      <c r="I115" s="99" t="n"/>
      <c r="J115" s="99" t="n"/>
      <c r="K115" s="99" t="n"/>
      <c r="L115" s="97" t="n"/>
      <c r="M115" s="110" t="n"/>
      <c r="N115" s="110" t="n"/>
      <c r="O115" s="110" t="n"/>
      <c r="P115" s="110" t="n"/>
      <c r="Q115" s="110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3" t="n">
        <v>2200</v>
      </c>
    </row>
    <row r="116">
      <c r="C116" s="15" t="inlineStr">
        <is>
          <t>34</t>
        </is>
      </c>
      <c r="D116" s="38" t="n">
        <v>1759</v>
      </c>
      <c r="E116" s="38" t="inlineStr">
        <is>
          <t>EMMANUEL ODUOR</t>
        </is>
      </c>
      <c r="F116" s="39" t="n">
        <v>700</v>
      </c>
      <c r="G116" s="96" t="n">
        <v>2200</v>
      </c>
      <c r="H116" s="99" t="n"/>
      <c r="I116" s="99" t="n"/>
      <c r="J116" s="99" t="n"/>
      <c r="K116" s="99" t="n"/>
      <c r="L116" s="97" t="n"/>
      <c r="M116" s="110" t="n"/>
      <c r="N116" s="110" t="n"/>
      <c r="O116" s="110" t="n"/>
      <c r="P116" s="110" t="n"/>
      <c r="Q116" s="110" t="n"/>
      <c r="R116" s="42" t="n">
        <v>700</v>
      </c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3" t="n">
        <v>2200</v>
      </c>
    </row>
    <row r="117">
      <c r="C117" s="15" t="inlineStr">
        <is>
          <t>35</t>
        </is>
      </c>
      <c r="D117" s="92" t="n">
        <v>1779</v>
      </c>
      <c r="E117" s="92" t="inlineStr">
        <is>
          <t>SAMUEL MORGAN</t>
        </is>
      </c>
      <c r="F117" s="39" t="n">
        <v>1400</v>
      </c>
      <c r="G117" s="98" t="n">
        <v>2200</v>
      </c>
      <c r="H117" s="99" t="n"/>
      <c r="I117" s="99" t="n"/>
      <c r="J117" s="99" t="n"/>
      <c r="K117" s="99" t="n"/>
      <c r="L117" s="99" t="n"/>
      <c r="M117" s="99" t="n"/>
      <c r="N117" s="99" t="n"/>
      <c r="O117" s="99" t="n"/>
      <c r="P117" s="99" t="n"/>
      <c r="Q117" s="97" t="n"/>
      <c r="R117" s="42" t="n"/>
      <c r="S117" s="42" t="n"/>
      <c r="T117" s="42" t="n">
        <v>1400</v>
      </c>
      <c r="U117" s="42" t="n"/>
      <c r="V117" s="17" t="n"/>
      <c r="W117" s="17" t="n"/>
      <c r="X117" s="17" t="n"/>
      <c r="Y117" s="42" t="n"/>
      <c r="Z117" s="17" t="n"/>
      <c r="AA117" s="17" t="n"/>
      <c r="AB117" s="17" t="n"/>
      <c r="AC117" s="17" t="n"/>
      <c r="AD117" s="1" t="n">
        <v>2200</v>
      </c>
    </row>
    <row r="118">
      <c r="C118" s="15" t="inlineStr">
        <is>
          <t>36</t>
        </is>
      </c>
      <c r="D118" s="92" t="n">
        <v>1822</v>
      </c>
      <c r="E118" s="92" t="inlineStr">
        <is>
          <t>CLINTON ODONGO</t>
        </is>
      </c>
      <c r="F118" s="39" t="n">
        <v>600</v>
      </c>
      <c r="G118" s="96" t="n">
        <v>2200</v>
      </c>
      <c r="H118" s="99" t="n"/>
      <c r="I118" s="99" t="n"/>
      <c r="J118" s="99" t="n"/>
      <c r="K118" s="99" t="n"/>
      <c r="L118" s="97" t="n"/>
      <c r="M118" s="110" t="n"/>
      <c r="N118" s="110" t="n"/>
      <c r="O118" s="110" t="n"/>
      <c r="P118" s="110" t="n"/>
      <c r="Q118" s="110" t="n"/>
      <c r="R118" s="42" t="n"/>
      <c r="S118" s="42" t="n"/>
      <c r="T118" s="42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35" t="n">
        <v>2800</v>
      </c>
    </row>
    <row r="119">
      <c r="C119" s="15" t="inlineStr">
        <is>
          <t>37</t>
        </is>
      </c>
      <c r="D119" s="92" t="n">
        <v>1827</v>
      </c>
      <c r="E119" s="92" t="inlineStr">
        <is>
          <t>JEFF FRED OTIENO</t>
        </is>
      </c>
      <c r="F119" s="39" t="n"/>
      <c r="G119" s="96" t="n">
        <v>2200</v>
      </c>
      <c r="H119" s="99" t="n"/>
      <c r="I119" s="99" t="n"/>
      <c r="J119" s="99" t="n"/>
      <c r="K119" s="99" t="n"/>
      <c r="L119" s="97" t="n"/>
      <c r="M119" s="110" t="n"/>
      <c r="N119" s="110" t="n"/>
      <c r="O119" s="110" t="n"/>
      <c r="P119" s="110" t="n"/>
      <c r="Q119" s="110" t="n"/>
      <c r="R119" s="42" t="n"/>
      <c r="S119" s="42" t="n"/>
      <c r="T119" s="42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" t="n">
        <v>2200</v>
      </c>
    </row>
    <row r="120">
      <c r="C120" s="15" t="inlineStr">
        <is>
          <t>38</t>
        </is>
      </c>
      <c r="D120" s="92" t="n">
        <v>1830</v>
      </c>
      <c r="E120" s="92" t="inlineStr">
        <is>
          <t>SAMUEL ORUKO</t>
        </is>
      </c>
      <c r="F120" s="39" t="n"/>
      <c r="G120" s="96" t="n">
        <v>2200</v>
      </c>
      <c r="H120" s="99" t="n"/>
      <c r="I120" s="99" t="n"/>
      <c r="J120" s="99" t="n"/>
      <c r="K120" s="99" t="n"/>
      <c r="L120" s="97" t="n"/>
      <c r="M120" s="110" t="n"/>
      <c r="N120" s="110" t="n"/>
      <c r="O120" s="110" t="n"/>
      <c r="P120" s="110" t="n"/>
      <c r="Q120" s="110" t="n"/>
      <c r="R120" s="42" t="n"/>
      <c r="S120" s="42" t="n"/>
      <c r="T120" s="42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" t="n">
        <v>2200</v>
      </c>
    </row>
    <row r="121">
      <c r="C121" s="15" t="inlineStr">
        <is>
          <t>39</t>
        </is>
      </c>
      <c r="D121" s="92" t="n">
        <v>1843</v>
      </c>
      <c r="E121" s="92" t="inlineStr">
        <is>
          <t>MOSES ONYANGO</t>
        </is>
      </c>
      <c r="F121" s="39" t="n"/>
      <c r="G121" s="96" t="n">
        <v>2200</v>
      </c>
      <c r="H121" s="99" t="n"/>
      <c r="I121" s="99" t="n"/>
      <c r="J121" s="99" t="n"/>
      <c r="K121" s="99" t="n"/>
      <c r="L121" s="97" t="n"/>
      <c r="M121" s="110" t="n"/>
      <c r="N121" s="110" t="n"/>
      <c r="O121" s="110" t="n"/>
      <c r="P121" s="110" t="n"/>
      <c r="Q121" s="110" t="n"/>
      <c r="R121" s="42" t="n"/>
      <c r="S121" s="42" t="n"/>
      <c r="T121" s="42" t="n"/>
      <c r="U121" s="17" t="n"/>
      <c r="V121" s="20" t="n"/>
      <c r="W121" s="20" t="n"/>
      <c r="X121" s="20" t="n"/>
      <c r="Y121" s="17" t="n"/>
      <c r="Z121" s="20" t="n"/>
      <c r="AA121" s="20" t="n"/>
      <c r="AB121" s="20" t="n"/>
      <c r="AC121" s="20" t="n"/>
      <c r="AD121" s="1" t="n">
        <v>2200</v>
      </c>
    </row>
    <row r="122">
      <c r="C122" s="15" t="inlineStr">
        <is>
          <t>40</t>
        </is>
      </c>
      <c r="D122" s="92" t="n">
        <v>1845</v>
      </c>
      <c r="E122" s="92" t="inlineStr">
        <is>
          <t>CHARLSE OTIENO</t>
        </is>
      </c>
      <c r="F122" s="39" t="n"/>
      <c r="G122" s="96" t="n">
        <v>2200</v>
      </c>
      <c r="H122" s="99" t="n"/>
      <c r="I122" s="99" t="n"/>
      <c r="J122" s="99" t="n"/>
      <c r="K122" s="99" t="n"/>
      <c r="L122" s="97" t="n"/>
      <c r="M122" s="110" t="n"/>
      <c r="N122" s="110" t="n"/>
      <c r="O122" s="110" t="n"/>
      <c r="P122" s="110" t="n"/>
      <c r="Q122" s="110" t="n"/>
      <c r="R122" s="42" t="n"/>
      <c r="S122" s="42" t="n"/>
      <c r="T122" s="42" t="n"/>
      <c r="U122" s="20" t="n"/>
      <c r="V122" s="17" t="n"/>
      <c r="W122" s="17" t="n"/>
      <c r="X122" s="17" t="n"/>
      <c r="Y122" s="20" t="n"/>
      <c r="Z122" s="37" t="n"/>
      <c r="AA122" s="17" t="n"/>
      <c r="AB122" s="17" t="n"/>
      <c r="AC122" s="17" t="n"/>
      <c r="AD122" s="1" t="n">
        <v>2200</v>
      </c>
    </row>
    <row r="123">
      <c r="C123" s="15" t="inlineStr">
        <is>
          <t>50</t>
        </is>
      </c>
      <c r="D123" s="92" t="n">
        <v>1848</v>
      </c>
      <c r="E123" s="92" t="inlineStr">
        <is>
          <t>PETER AIMA</t>
        </is>
      </c>
      <c r="F123" s="39" t="n"/>
      <c r="G123" s="98" t="n">
        <v>2200</v>
      </c>
      <c r="H123" s="99" t="n"/>
      <c r="I123" s="99" t="n"/>
      <c r="J123" s="99" t="n"/>
      <c r="K123" s="99" t="n"/>
      <c r="L123" s="99" t="n"/>
      <c r="M123" s="99" t="n"/>
      <c r="N123" s="99" t="n"/>
      <c r="O123" s="99" t="n"/>
      <c r="P123" s="99" t="n"/>
      <c r="Q123" s="97" t="n"/>
      <c r="R123" s="42" t="n"/>
      <c r="S123" s="42" t="n"/>
      <c r="T123" s="42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" t="n">
        <v>2200</v>
      </c>
    </row>
    <row r="124">
      <c r="C124" s="15" t="inlineStr">
        <is>
          <t>51</t>
        </is>
      </c>
      <c r="D124" s="92" t="n">
        <v>1890</v>
      </c>
      <c r="E124" s="92" t="inlineStr">
        <is>
          <t>COLLINS MANYASI</t>
        </is>
      </c>
      <c r="F124" s="16" t="n"/>
      <c r="G124" s="98" t="n">
        <v>2200</v>
      </c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7" t="n"/>
      <c r="R124" s="42" t="n"/>
      <c r="S124" s="42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" t="n">
        <v>2200</v>
      </c>
    </row>
    <row r="125" ht="15.75" customHeight="1" s="101" thickBot="1">
      <c r="C125" s="5" t="n"/>
      <c r="D125" s="5" t="n"/>
      <c r="E125" s="6" t="inlineStr">
        <is>
          <t>TOTAL</t>
        </is>
      </c>
      <c r="F125" s="7">
        <f>SUM(F108:F124)</f>
        <v/>
      </c>
      <c r="G125" s="8">
        <f>SUM(G108:G124)</f>
        <v/>
      </c>
      <c r="H125" s="8">
        <f>SUM(H108:H121)</f>
        <v/>
      </c>
      <c r="I125" s="8">
        <f>SUM(I108:I121)</f>
        <v/>
      </c>
      <c r="J125" s="8">
        <f>SUM(J108:J121)</f>
        <v/>
      </c>
      <c r="K125" s="8">
        <f>SUM(K108:K121)</f>
        <v/>
      </c>
      <c r="L125" s="8">
        <f>SUM(L108:L121)</f>
        <v/>
      </c>
      <c r="M125" s="8">
        <f>SUM(M108:M121)</f>
        <v/>
      </c>
      <c r="N125" s="8">
        <f>SUM(N108:N121)</f>
        <v/>
      </c>
      <c r="O125" s="8">
        <f>SUM(O108:O121)</f>
        <v/>
      </c>
      <c r="P125" s="8">
        <f>SUM(P108:P121)</f>
        <v/>
      </c>
      <c r="Q125" s="8">
        <f>SUM(Q108:Q121)</f>
        <v/>
      </c>
      <c r="R125" s="8">
        <f>SUM(R108:R124)</f>
        <v/>
      </c>
      <c r="S125" s="8">
        <f>SUM(S108:S124)</f>
        <v/>
      </c>
      <c r="T125" s="8">
        <f>SUM(T108:T124)</f>
        <v/>
      </c>
      <c r="U125" s="4">
        <f>SUM(U108:U124)</f>
        <v/>
      </c>
      <c r="V125" s="8">
        <f>SUM(V108:V124)</f>
        <v/>
      </c>
      <c r="W125" s="8">
        <f>SUM(W108:W124)</f>
        <v/>
      </c>
      <c r="X125" s="8">
        <f>SUM(X108:X124)</f>
        <v/>
      </c>
      <c r="Y125" s="4">
        <f>SUM(Y108:Y124)</f>
        <v/>
      </c>
      <c r="Z125" s="8">
        <f>SUM(Z108:Z124)</f>
        <v/>
      </c>
      <c r="AA125" s="8" t="n"/>
      <c r="AB125" s="8">
        <f>SUM(AB108:AB124)</f>
        <v/>
      </c>
      <c r="AC125" s="8">
        <f>SUM(AC108:AC124)</f>
        <v/>
      </c>
      <c r="AD125" s="9">
        <f>SUM(AD108:AD124)</f>
        <v/>
      </c>
    </row>
    <row r="127">
      <c r="E127" s="88" t="inlineStr">
        <is>
          <t>TOTAL COLLECTION 2025(3C)</t>
        </is>
      </c>
      <c r="F127" s="75">
        <f>H127-F69</f>
        <v/>
      </c>
      <c r="G127" t="n">
        <v>13150</v>
      </c>
      <c r="H127" t="n">
        <v>34550</v>
      </c>
    </row>
    <row r="128">
      <c r="B128" t="inlineStr">
        <is>
          <t>1946</t>
        </is>
      </c>
      <c r="C128" t="inlineStr">
        <is>
          <t>NEEMA GLORIA</t>
        </is>
      </c>
      <c r="D128" t="n">
        <v>0</v>
      </c>
      <c r="E128" t="n">
        <v>1400</v>
      </c>
      <c r="M128" t="n">
        <v>400</v>
      </c>
    </row>
    <row r="129">
      <c r="B129" t="inlineStr">
        <is>
          <t>1947</t>
        </is>
      </c>
      <c r="C129" t="inlineStr">
        <is>
          <t>EDISON OMONDI</t>
        </is>
      </c>
      <c r="D129" t="n">
        <v>0</v>
      </c>
      <c r="E129" t="n">
        <v>1400</v>
      </c>
      <c r="H129" t="n">
        <v>150</v>
      </c>
    </row>
    <row r="130">
      <c r="B130" t="inlineStr">
        <is>
          <t>1892</t>
        </is>
      </c>
      <c r="C130" t="inlineStr">
        <is>
          <t>NICHOLAS OTIENO</t>
        </is>
      </c>
      <c r="D130" t="n">
        <v>0</v>
      </c>
      <c r="E130" t="n">
        <v>2200</v>
      </c>
      <c r="H130" t="n">
        <v>2200</v>
      </c>
    </row>
    <row r="131">
      <c r="B131" t="inlineStr">
        <is>
          <t>1933</t>
        </is>
      </c>
      <c r="C131" t="inlineStr">
        <is>
          <t>KENNEDY OMOLLO</t>
        </is>
      </c>
      <c r="D131" t="n">
        <v>0</v>
      </c>
      <c r="E131" t="n">
        <v>1400</v>
      </c>
      <c r="H131" t="n">
        <v>800</v>
      </c>
    </row>
    <row r="132">
      <c r="B132" t="inlineStr">
        <is>
          <t>1933</t>
        </is>
      </c>
      <c r="C132" t="inlineStr">
        <is>
          <t>KENNEDY OMOLLO</t>
        </is>
      </c>
      <c r="D132" t="n">
        <v>0</v>
      </c>
      <c r="E132" t="n">
        <v>1400</v>
      </c>
    </row>
  </sheetData>
  <mergeCells count="120">
    <mergeCell ref="G72:Q72"/>
    <mergeCell ref="G101:L101"/>
    <mergeCell ref="G19:L19"/>
    <mergeCell ref="G81:Q81"/>
    <mergeCell ref="G6:L6"/>
    <mergeCell ref="G83:L83"/>
    <mergeCell ref="G92:L92"/>
    <mergeCell ref="G98:Q98"/>
    <mergeCell ref="G30:L30"/>
    <mergeCell ref="G14:L14"/>
    <mergeCell ref="G55:L55"/>
    <mergeCell ref="C70:Q70"/>
    <mergeCell ref="R72:AC72"/>
    <mergeCell ref="G119:L119"/>
    <mergeCell ref="G74:Q74"/>
    <mergeCell ref="G108:Q108"/>
    <mergeCell ref="G96:L96"/>
    <mergeCell ref="G123:Q123"/>
    <mergeCell ref="G45:Q45"/>
    <mergeCell ref="C105:F105"/>
    <mergeCell ref="C104:Q104"/>
    <mergeCell ref="G94:Q94"/>
    <mergeCell ref="G8:L8"/>
    <mergeCell ref="C2:F2"/>
    <mergeCell ref="G75:Q75"/>
    <mergeCell ref="G22:Q22"/>
    <mergeCell ref="G82:L82"/>
    <mergeCell ref="C1:Q1"/>
    <mergeCell ref="G57:L57"/>
    <mergeCell ref="G10:L10"/>
    <mergeCell ref="G66:L66"/>
    <mergeCell ref="G86:Q86"/>
    <mergeCell ref="G18:L18"/>
    <mergeCell ref="G53:L53"/>
    <mergeCell ref="G121:L121"/>
    <mergeCell ref="R35:AC35"/>
    <mergeCell ref="G23:Q23"/>
    <mergeCell ref="G97:Q97"/>
    <mergeCell ref="G58:L58"/>
    <mergeCell ref="R3:AC3"/>
    <mergeCell ref="G110:L110"/>
    <mergeCell ref="G20:L20"/>
    <mergeCell ref="G113:L113"/>
    <mergeCell ref="G91:L91"/>
    <mergeCell ref="G29:L29"/>
    <mergeCell ref="G100:L100"/>
    <mergeCell ref="G109:L109"/>
    <mergeCell ref="G47:L47"/>
    <mergeCell ref="G44:L44"/>
    <mergeCell ref="G84:L84"/>
    <mergeCell ref="G12:L12"/>
    <mergeCell ref="G21:L21"/>
    <mergeCell ref="G35:Q35"/>
    <mergeCell ref="G48:L48"/>
    <mergeCell ref="C71:F71"/>
    <mergeCell ref="G38:L38"/>
    <mergeCell ref="G7:L7"/>
    <mergeCell ref="G112:L112"/>
    <mergeCell ref="G62:L62"/>
    <mergeCell ref="G11:Q11"/>
    <mergeCell ref="G117:Q117"/>
    <mergeCell ref="G49:L49"/>
    <mergeCell ref="G65:L65"/>
    <mergeCell ref="C34:F34"/>
    <mergeCell ref="G114:L114"/>
    <mergeCell ref="G37:Q37"/>
    <mergeCell ref="G76:L76"/>
    <mergeCell ref="G25:L25"/>
    <mergeCell ref="G85:L85"/>
    <mergeCell ref="G87:Q87"/>
    <mergeCell ref="G99:L99"/>
    <mergeCell ref="G60:L60"/>
    <mergeCell ref="G9:L9"/>
    <mergeCell ref="G80:Q80"/>
    <mergeCell ref="G59:L59"/>
    <mergeCell ref="G115:L115"/>
    <mergeCell ref="G77:L77"/>
    <mergeCell ref="G73:Q73"/>
    <mergeCell ref="G61:L61"/>
    <mergeCell ref="G39:L39"/>
    <mergeCell ref="G122:L122"/>
    <mergeCell ref="G106:Q106"/>
    <mergeCell ref="G116:L116"/>
    <mergeCell ref="G52:Q52"/>
    <mergeCell ref="G13:L13"/>
    <mergeCell ref="G78:L78"/>
    <mergeCell ref="G118:L118"/>
    <mergeCell ref="G27:Q27"/>
    <mergeCell ref="G36:Q36"/>
    <mergeCell ref="G107:Q107"/>
    <mergeCell ref="G15:L15"/>
    <mergeCell ref="G17:Q17"/>
    <mergeCell ref="G24:L24"/>
    <mergeCell ref="G95:L95"/>
    <mergeCell ref="G89:L89"/>
    <mergeCell ref="G64:L64"/>
    <mergeCell ref="G79:L79"/>
    <mergeCell ref="G88:L88"/>
    <mergeCell ref="G51:L51"/>
    <mergeCell ref="G26:L26"/>
    <mergeCell ref="G28:Q28"/>
    <mergeCell ref="G93:Q93"/>
    <mergeCell ref="G54:L54"/>
    <mergeCell ref="G3:Q3"/>
    <mergeCell ref="G63:L63"/>
    <mergeCell ref="G41:L41"/>
    <mergeCell ref="G16:L16"/>
    <mergeCell ref="G50:L50"/>
    <mergeCell ref="G90:L90"/>
    <mergeCell ref="G124:Q124"/>
    <mergeCell ref="G56:L56"/>
    <mergeCell ref="G5:Q5"/>
    <mergeCell ref="G43:L43"/>
    <mergeCell ref="C33:Q33"/>
    <mergeCell ref="G4:Q4"/>
    <mergeCell ref="G120:L120"/>
    <mergeCell ref="G42:L42"/>
    <mergeCell ref="G46:Q46"/>
    <mergeCell ref="G40:Q40"/>
    <mergeCell ref="G111:Q111"/>
  </mergeCells>
  <pageMargins left="0.7" right="0.7" top="0.75" bottom="0.75" header="0.3" footer="0.3"/>
  <pageSetup orientation="landscape" paperSize="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1"/>
  <sheetViews>
    <sheetView tabSelected="1" topLeftCell="A148" workbookViewId="0">
      <selection activeCell="T130" sqref="T130"/>
    </sheetView>
  </sheetViews>
  <sheetFormatPr baseColWidth="8" defaultRowHeight="15"/>
  <cols>
    <col width="3.85546875" customWidth="1" style="101" min="1" max="1"/>
    <col width="5.140625" customWidth="1" style="101" min="2" max="2"/>
    <col width="23.5703125" customWidth="1" style="101" min="3" max="3"/>
    <col width="10.42578125" customWidth="1" style="101" min="4" max="4"/>
    <col width="9.7109375" customWidth="1" style="101" min="5" max="5"/>
    <col hidden="1" width="9.140625" customWidth="1" style="101" min="6" max="7"/>
    <col width="9.140625" customWidth="1" style="101" min="8" max="19"/>
    <col width="13.140625" customWidth="1" style="101" min="20" max="20"/>
  </cols>
  <sheetData>
    <row r="1" ht="18" customHeight="1" s="101">
      <c r="A1" s="100" t="inlineStr">
        <is>
          <t>KIREMBE SECONDARY SCHOOL.</t>
        </is>
      </c>
    </row>
    <row r="2">
      <c r="A2" s="108" t="inlineStr">
        <is>
          <t xml:space="preserve"> FEE REGISTER(LUNCH)2026 FORM 3 A</t>
        </is>
      </c>
      <c r="E2" s="14" t="n"/>
      <c r="H2" s="14" t="n"/>
      <c r="I2" s="14" t="inlineStr">
        <is>
          <t>1ST TERM</t>
        </is>
      </c>
      <c r="J2" s="14" t="n"/>
      <c r="K2" s="14" t="n"/>
      <c r="L2" s="14" t="inlineStr">
        <is>
          <t>2ND TERM</t>
        </is>
      </c>
      <c r="M2" s="14" t="n"/>
      <c r="N2" s="14" t="n"/>
      <c r="O2" s="14" t="n"/>
      <c r="P2" s="14" t="inlineStr">
        <is>
          <t>3RD TERM</t>
        </is>
      </c>
    </row>
    <row r="3">
      <c r="A3" s="36" t="inlineStr">
        <is>
          <t>NO.</t>
        </is>
      </c>
      <c r="B3" s="36" t="inlineStr">
        <is>
          <t>ADM</t>
        </is>
      </c>
      <c r="C3" t="inlineStr">
        <is>
          <t>NAME</t>
        </is>
      </c>
      <c r="E3" s="103" t="inlineStr">
        <is>
          <t>DEBT</t>
        </is>
      </c>
      <c r="H3" s="104" t="inlineStr">
        <is>
          <t>REPAYMENT</t>
        </is>
      </c>
    </row>
    <row r="4">
      <c r="A4" s="12" t="n"/>
      <c r="B4" s="12" t="n"/>
      <c r="C4" s="13" t="n"/>
      <c r="D4" s="13" t="inlineStr">
        <is>
          <t>ARREAS</t>
        </is>
      </c>
      <c r="E4" s="105" t="n">
        <v>2026</v>
      </c>
      <c r="F4" s="106" t="n"/>
      <c r="G4" s="106" t="n"/>
      <c r="H4" s="13" t="inlineStr">
        <is>
          <t>JAN</t>
        </is>
      </c>
      <c r="I4" s="13" t="inlineStr">
        <is>
          <t>FEB</t>
        </is>
      </c>
      <c r="J4" s="13" t="inlineStr">
        <is>
          <t>MAR</t>
        </is>
      </c>
      <c r="K4" s="13" t="inlineStr">
        <is>
          <t>APR</t>
        </is>
      </c>
      <c r="L4" s="13" t="inlineStr">
        <is>
          <t>MAY</t>
        </is>
      </c>
      <c r="M4" s="13" t="inlineStr">
        <is>
          <t>JUN</t>
        </is>
      </c>
      <c r="N4" s="13" t="inlineStr">
        <is>
          <t>JUL</t>
        </is>
      </c>
      <c r="O4" s="13" t="inlineStr">
        <is>
          <t>AUG</t>
        </is>
      </c>
      <c r="P4" s="13" t="inlineStr">
        <is>
          <t>SEP</t>
        </is>
      </c>
      <c r="Q4" s="13" t="inlineStr">
        <is>
          <t>OCT</t>
        </is>
      </c>
      <c r="R4" s="13" t="inlineStr">
        <is>
          <t>NOV</t>
        </is>
      </c>
      <c r="S4" s="13" t="inlineStr">
        <is>
          <t>PRE PAID</t>
        </is>
      </c>
      <c r="T4" s="13" t="inlineStr">
        <is>
          <t>BALANCE</t>
        </is>
      </c>
    </row>
    <row r="5">
      <c r="A5" s="15" t="inlineStr">
        <is>
          <t>01</t>
        </is>
      </c>
      <c r="B5" s="92" t="n">
        <v>1710</v>
      </c>
      <c r="C5" s="45" t="inlineStr">
        <is>
          <t>MARY ATIENO</t>
        </is>
      </c>
      <c r="D5" s="16">
        <f>'FORM 2 2025'!T5</f>
        <v/>
      </c>
      <c r="E5" s="98" t="n">
        <v>2200</v>
      </c>
      <c r="F5" s="99" t="n"/>
      <c r="G5" s="97" t="n"/>
      <c r="H5" s="17" t="n"/>
      <c r="I5" s="17" t="n">
        <v>2400</v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">
        <f>D5+SUM(E5:G5)-SUM(H5:S5)</f>
        <v/>
      </c>
    </row>
    <row r="6">
      <c r="A6" s="15" t="inlineStr">
        <is>
          <t>02</t>
        </is>
      </c>
      <c r="B6" s="92" t="n">
        <v>1712</v>
      </c>
      <c r="C6" s="92" t="inlineStr">
        <is>
          <t>ASHA LATIFA</t>
        </is>
      </c>
      <c r="D6" s="16">
        <f>'FORM 2 2025'!T6</f>
        <v/>
      </c>
      <c r="E6" s="98" t="n">
        <v>2200</v>
      </c>
      <c r="F6" s="99" t="n"/>
      <c r="G6" s="97" t="n"/>
      <c r="H6" s="17" t="n">
        <v>100</v>
      </c>
      <c r="I6" s="91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">
        <f>D6+SUM(E6:G6)-SUM(H6:S6)</f>
        <v/>
      </c>
    </row>
    <row r="7">
      <c r="A7" s="15" t="inlineStr">
        <is>
          <t>03</t>
        </is>
      </c>
      <c r="B7" s="92" t="n">
        <v>1713</v>
      </c>
      <c r="C7" s="92" t="inlineStr">
        <is>
          <t>IVY AWUOR</t>
        </is>
      </c>
      <c r="D7" s="16">
        <f>'FORM 2 2025'!T7</f>
        <v/>
      </c>
      <c r="E7" s="96" t="n">
        <v>2200</v>
      </c>
      <c r="F7" s="97" t="n"/>
      <c r="G7" s="110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">
        <f>D7+SUM(E7:G7)-SUM(H7:S7)</f>
        <v/>
      </c>
    </row>
    <row r="8">
      <c r="A8" s="15" t="inlineStr">
        <is>
          <t>04</t>
        </is>
      </c>
      <c r="B8" s="92" t="n">
        <v>1716</v>
      </c>
      <c r="C8" s="92" t="inlineStr">
        <is>
          <t>JANE AKINYI</t>
        </is>
      </c>
      <c r="D8" s="16">
        <f>'FORM 2 2025'!T8</f>
        <v/>
      </c>
      <c r="E8" s="96" t="n">
        <v>2200</v>
      </c>
      <c r="F8" s="97" t="n"/>
      <c r="G8" s="110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">
        <f>D8+SUM(E8:G8)-SUM(H8:S8)</f>
        <v/>
      </c>
    </row>
    <row r="9">
      <c r="A9" s="15" t="inlineStr">
        <is>
          <t>05</t>
        </is>
      </c>
      <c r="B9" s="92" t="inlineStr">
        <is>
          <t>1717</t>
        </is>
      </c>
      <c r="C9" s="92" t="inlineStr">
        <is>
          <t>WILFRIDA ANYANGO</t>
        </is>
      </c>
      <c r="D9" s="16">
        <f>'FORM 2 2025'!T9</f>
        <v/>
      </c>
      <c r="E9" s="96" t="n">
        <v>2200</v>
      </c>
      <c r="F9" s="97" t="n"/>
      <c r="G9" s="110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>
        <v>2700</v>
      </c>
      <c r="Q9" s="17" t="n"/>
      <c r="R9" s="17" t="n"/>
      <c r="S9" s="17" t="n"/>
      <c r="T9" s="1">
        <f>D9+SUM(E9:G9)-SUM(H9:S9)</f>
        <v/>
      </c>
    </row>
    <row r="10">
      <c r="A10" s="15" t="inlineStr">
        <is>
          <t>06</t>
        </is>
      </c>
      <c r="B10" s="92" t="n">
        <v>1720</v>
      </c>
      <c r="C10" s="92" t="inlineStr">
        <is>
          <t>EFFEY IDA ACHIENG</t>
        </is>
      </c>
      <c r="D10" s="16">
        <f>'FORM 2 2025'!T10</f>
        <v/>
      </c>
      <c r="E10" s="96" t="n">
        <v>2200</v>
      </c>
      <c r="F10" s="97" t="n"/>
      <c r="G10" s="110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">
        <f>D10+SUM(E10:G10)-SUM(H10:S10)</f>
        <v/>
      </c>
    </row>
    <row r="11">
      <c r="A11" s="15" t="inlineStr">
        <is>
          <t>07</t>
        </is>
      </c>
      <c r="B11" s="92" t="inlineStr">
        <is>
          <t>1722</t>
        </is>
      </c>
      <c r="C11" s="92" t="inlineStr">
        <is>
          <t>MARION ANYANGO</t>
        </is>
      </c>
      <c r="D11" s="16">
        <f>'FORM 2 2025'!T11</f>
        <v/>
      </c>
      <c r="E11" s="96" t="n">
        <v>2200</v>
      </c>
      <c r="F11" s="97" t="n"/>
      <c r="G11" s="110" t="n"/>
      <c r="H11" s="17" t="n"/>
      <c r="I11" s="17" t="n"/>
      <c r="J11" s="17" t="n"/>
      <c r="K11" s="17" t="n"/>
      <c r="L11" s="17" t="n"/>
      <c r="M11" s="17" t="n"/>
      <c r="N11" s="17" t="n">
        <v>600</v>
      </c>
      <c r="O11" s="17" t="n"/>
      <c r="P11" s="17" t="n"/>
      <c r="Q11" s="17" t="n"/>
      <c r="R11" s="17" t="n"/>
      <c r="S11" s="17" t="n"/>
      <c r="T11" s="1">
        <f>D11+SUM(E11:G11)-SUM(H11:S11)</f>
        <v/>
      </c>
    </row>
    <row r="12">
      <c r="A12" s="15" t="inlineStr">
        <is>
          <t>08</t>
        </is>
      </c>
      <c r="B12" s="92" t="inlineStr">
        <is>
          <t>1727</t>
        </is>
      </c>
      <c r="C12" s="92" t="inlineStr">
        <is>
          <t>LYDIA AWUOR</t>
        </is>
      </c>
      <c r="D12" s="16">
        <f>'FORM 2 2025'!T12</f>
        <v/>
      </c>
      <c r="E12" s="98" t="n">
        <v>2200</v>
      </c>
      <c r="F12" s="99" t="n"/>
      <c r="G12" s="97" t="n"/>
      <c r="H12" s="41" t="n"/>
      <c r="I12" s="41" t="n"/>
      <c r="J12" s="41" t="n"/>
      <c r="K12" s="41" t="n"/>
      <c r="L12" s="41" t="n"/>
      <c r="M12" s="41" t="n">
        <v>300</v>
      </c>
      <c r="N12" s="41" t="n"/>
      <c r="O12" s="41" t="n"/>
      <c r="P12" s="41" t="n"/>
      <c r="Q12" s="41" t="n"/>
      <c r="R12" s="41" t="n"/>
      <c r="S12" s="41" t="n"/>
      <c r="T12" s="11">
        <f>D12+SUM(E12:G12)-SUM(H12:S12)</f>
        <v/>
      </c>
    </row>
    <row r="13">
      <c r="A13" s="15" t="inlineStr">
        <is>
          <t>09</t>
        </is>
      </c>
      <c r="B13" s="92" t="inlineStr">
        <is>
          <t>1737</t>
        </is>
      </c>
      <c r="C13" s="92" t="inlineStr">
        <is>
          <t>STACY ACHIENG</t>
        </is>
      </c>
      <c r="D13" s="16">
        <f>'FORM 2 2025'!T13</f>
        <v/>
      </c>
      <c r="E13" s="98" t="n">
        <v>2200</v>
      </c>
      <c r="F13" s="99" t="n"/>
      <c r="G13" s="97" t="n"/>
      <c r="H13" s="41" t="n"/>
      <c r="I13" s="41" t="n"/>
      <c r="J13" s="41" t="n"/>
      <c r="K13" s="41" t="n"/>
      <c r="L13" s="41" t="n"/>
      <c r="M13" s="41" t="n"/>
      <c r="N13" s="41" t="n">
        <v>600</v>
      </c>
      <c r="O13" s="41" t="n"/>
      <c r="P13" s="41" t="n"/>
      <c r="Q13" s="41" t="n"/>
      <c r="R13" s="41" t="n"/>
      <c r="S13" s="41" t="n"/>
      <c r="T13" s="11">
        <f>D13+SUM(E13:G13)-SUM(H13:S13)</f>
        <v/>
      </c>
    </row>
    <row r="14">
      <c r="A14" s="15" t="inlineStr">
        <is>
          <t>11</t>
        </is>
      </c>
      <c r="B14" s="92" t="inlineStr">
        <is>
          <t>1747</t>
        </is>
      </c>
      <c r="C14" s="92" t="inlineStr">
        <is>
          <t>CHRISTINE ATIENO</t>
        </is>
      </c>
      <c r="D14" s="16">
        <f>'FORM 2 2025'!T14</f>
        <v/>
      </c>
      <c r="E14" s="96" t="n">
        <v>2200</v>
      </c>
      <c r="F14" s="97" t="n"/>
      <c r="G14" s="110" t="n"/>
      <c r="H14" s="41" t="n"/>
      <c r="I14" s="41" t="n"/>
      <c r="J14" s="41" t="n"/>
      <c r="K14" s="41" t="n"/>
      <c r="L14" s="41" t="n"/>
      <c r="M14" s="41" t="n"/>
      <c r="N14" s="41" t="n">
        <v>1200</v>
      </c>
      <c r="O14" s="41" t="n"/>
      <c r="P14" s="41" t="n"/>
      <c r="Q14" s="41" t="n"/>
      <c r="R14" s="41" t="n"/>
      <c r="S14" s="41" t="n"/>
      <c r="T14" s="11" t="n"/>
    </row>
    <row r="15">
      <c r="A15" s="15" t="inlineStr">
        <is>
          <t>12</t>
        </is>
      </c>
      <c r="B15" s="92" t="inlineStr">
        <is>
          <t>1748</t>
        </is>
      </c>
      <c r="C15" s="92" t="inlineStr">
        <is>
          <t>PAMELA AKINYI</t>
        </is>
      </c>
      <c r="D15" s="16">
        <f>'FORM 2 2025'!T15</f>
        <v/>
      </c>
      <c r="E15" s="96" t="n">
        <v>2200</v>
      </c>
      <c r="F15" s="97" t="n"/>
      <c r="G15" s="110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>
        <v>300</v>
      </c>
      <c r="Q15" s="41" t="n"/>
      <c r="R15" s="41" t="n"/>
      <c r="S15" s="41" t="n"/>
      <c r="T15" s="11">
        <f>D15+SUM(E15:G15)-SUM(H15:S15)</f>
        <v/>
      </c>
    </row>
    <row r="16" ht="17.25" customHeight="1" s="101">
      <c r="A16" s="15" t="inlineStr">
        <is>
          <t>13</t>
        </is>
      </c>
      <c r="B16" s="92" t="inlineStr">
        <is>
          <t>1752</t>
        </is>
      </c>
      <c r="C16" s="92" t="inlineStr">
        <is>
          <t>LAVINA INZIANI</t>
        </is>
      </c>
      <c r="D16" s="16">
        <f>'FORM 2 2025'!T16</f>
        <v/>
      </c>
      <c r="E16" s="96" t="n">
        <v>2200</v>
      </c>
      <c r="F16" s="97" t="n"/>
      <c r="G16" s="110" t="n"/>
      <c r="H16" s="41" t="n"/>
      <c r="I16" s="41" t="n"/>
      <c r="J16" s="41" t="n"/>
      <c r="K16" s="41" t="n"/>
      <c r="L16" s="41" t="n"/>
      <c r="M16" s="41" t="n"/>
      <c r="N16" s="41" t="n">
        <v>900</v>
      </c>
      <c r="O16" s="41" t="n"/>
      <c r="P16" s="41" t="n"/>
      <c r="Q16" s="41" t="n"/>
      <c r="R16" s="41" t="n"/>
      <c r="S16" s="41" t="n"/>
      <c r="T16" s="11">
        <f>D16+SUM(E16:G16)-SUM(H16:S16)</f>
        <v/>
      </c>
    </row>
    <row r="17">
      <c r="A17" s="15" t="inlineStr">
        <is>
          <t>14</t>
        </is>
      </c>
      <c r="B17" s="92" t="inlineStr">
        <is>
          <t>1754</t>
        </is>
      </c>
      <c r="C17" s="45" t="inlineStr">
        <is>
          <t>IRENE AKOTH</t>
        </is>
      </c>
      <c r="D17" s="16">
        <f>'FORM 2 2025'!T17</f>
        <v/>
      </c>
      <c r="E17" s="96" t="n">
        <v>2200</v>
      </c>
      <c r="F17" s="97" t="n"/>
      <c r="G17" s="110" t="n"/>
      <c r="H17" s="41" t="n"/>
      <c r="I17" s="89" t="n"/>
      <c r="J17" s="41" t="n"/>
      <c r="K17" s="41" t="n"/>
      <c r="L17" s="41" t="n"/>
      <c r="M17" s="41" t="n"/>
      <c r="N17" s="41" t="n"/>
      <c r="O17" s="41" t="n"/>
      <c r="P17" s="41" t="n">
        <v>2500</v>
      </c>
      <c r="Q17" s="41" t="n"/>
      <c r="R17" s="41" t="n"/>
      <c r="S17" s="41" t="n"/>
      <c r="T17" s="11">
        <f>D17+SUM(E17:G17)-SUM(H17:S17)</f>
        <v/>
      </c>
    </row>
    <row r="18">
      <c r="A18" s="15" t="inlineStr">
        <is>
          <t>15</t>
        </is>
      </c>
      <c r="B18" s="92" t="inlineStr">
        <is>
          <t>1756</t>
        </is>
      </c>
      <c r="C18" s="45" t="inlineStr">
        <is>
          <t>BERYL ATIENO</t>
        </is>
      </c>
      <c r="D18" s="16">
        <f>'FORM 2 2025'!T18</f>
        <v/>
      </c>
      <c r="E18" s="96" t="n">
        <v>2200</v>
      </c>
      <c r="F18" s="97" t="n"/>
      <c r="G18" s="110" t="n"/>
      <c r="H18" s="41" t="n"/>
      <c r="I18" s="52" t="n"/>
      <c r="J18" s="41" t="n"/>
      <c r="K18" s="41" t="n"/>
      <c r="L18" s="41" t="n"/>
      <c r="M18" s="41" t="n"/>
      <c r="N18" s="41" t="n"/>
      <c r="O18" s="41" t="n"/>
      <c r="P18" s="41" t="n">
        <v>250</v>
      </c>
      <c r="Q18" s="41" t="n"/>
      <c r="R18" s="41" t="n"/>
      <c r="S18" s="41" t="n"/>
      <c r="T18" s="11">
        <f>D18+SUM(E18:G18)-SUM(H18:S18)</f>
        <v/>
      </c>
    </row>
    <row r="19">
      <c r="A19" s="15" t="inlineStr">
        <is>
          <t>16</t>
        </is>
      </c>
      <c r="B19" s="92" t="n">
        <v>1757</v>
      </c>
      <c r="C19" s="54" t="inlineStr">
        <is>
          <t>CHRISTINE ACHIENG</t>
        </is>
      </c>
      <c r="D19" s="16">
        <f>'FORM 2 2025'!T19</f>
        <v/>
      </c>
      <c r="E19" s="96" t="n">
        <v>2200</v>
      </c>
      <c r="F19" s="97" t="n"/>
      <c r="G19" s="110" t="n"/>
      <c r="H19" s="41" t="n">
        <v>1000</v>
      </c>
      <c r="I19" s="89" t="n"/>
      <c r="J19" s="41" t="n"/>
      <c r="K19" s="41" t="n"/>
      <c r="L19" s="41" t="n">
        <v>1800</v>
      </c>
      <c r="M19" s="41" t="n"/>
      <c r="N19" s="41" t="n"/>
      <c r="O19" s="41" t="n"/>
      <c r="P19" s="41" t="n"/>
      <c r="Q19" s="41" t="n"/>
      <c r="R19" s="41" t="n"/>
      <c r="S19" s="41" t="n"/>
      <c r="T19" s="11">
        <f>D19+SUM(E19:G19)-SUM(H19:S19)</f>
        <v/>
      </c>
    </row>
    <row r="20">
      <c r="A20" s="15" t="inlineStr">
        <is>
          <t>17</t>
        </is>
      </c>
      <c r="B20" s="92" t="inlineStr">
        <is>
          <t>1758</t>
        </is>
      </c>
      <c r="C20" s="45" t="inlineStr">
        <is>
          <t>SHELVIA AKINYI</t>
        </is>
      </c>
      <c r="D20" s="16">
        <f>'FORM 2 2025'!T20</f>
        <v/>
      </c>
      <c r="E20" s="96" t="n">
        <v>2200</v>
      </c>
      <c r="F20" s="97" t="n"/>
      <c r="G20" s="110" t="n"/>
      <c r="H20" s="41" t="n"/>
      <c r="I20" s="41" t="n"/>
      <c r="J20" s="41" t="n"/>
      <c r="K20" s="41" t="n"/>
      <c r="L20" s="41" t="n"/>
      <c r="M20" s="41" t="n">
        <v>500</v>
      </c>
      <c r="N20" s="65" t="n"/>
      <c r="O20" s="41" t="n"/>
      <c r="P20" s="41" t="n"/>
      <c r="Q20" s="41" t="n"/>
      <c r="R20" s="41" t="n"/>
      <c r="S20" s="41" t="n"/>
      <c r="T20" s="11">
        <f>D20+SUM(E20:G20)-SUM(H20:S20)</f>
        <v/>
      </c>
    </row>
    <row r="21">
      <c r="A21" s="15" t="inlineStr">
        <is>
          <t>18</t>
        </is>
      </c>
      <c r="B21" s="92" t="n">
        <v>1766</v>
      </c>
      <c r="C21" s="92" t="inlineStr">
        <is>
          <t>PURITY AWUOR</t>
        </is>
      </c>
      <c r="D21" s="16">
        <f>'FORM 2 2025'!T21</f>
        <v/>
      </c>
      <c r="E21" s="98" t="n">
        <v>2200</v>
      </c>
      <c r="F21" s="99" t="n"/>
      <c r="G21" s="9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">
        <f>D21+SUM(E21:F21)-SUM(H21:S21)</f>
        <v/>
      </c>
    </row>
    <row r="22">
      <c r="A22" s="15" t="inlineStr">
        <is>
          <t>19</t>
        </is>
      </c>
      <c r="B22" s="92" t="inlineStr">
        <is>
          <t>1767</t>
        </is>
      </c>
      <c r="C22" s="45" t="inlineStr">
        <is>
          <t>IRENE AKINYI</t>
        </is>
      </c>
      <c r="D22" s="16">
        <f>'FORM 2 2025'!T22</f>
        <v/>
      </c>
      <c r="E22" s="98" t="n">
        <v>2200</v>
      </c>
      <c r="F22" s="99" t="n"/>
      <c r="G22" s="97" t="n"/>
      <c r="H22" s="17" t="n">
        <v>800</v>
      </c>
      <c r="I22" s="91" t="n"/>
      <c r="J22" s="17" t="n"/>
      <c r="K22" s="91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">
        <f>D22+SUM(E22:G22)-SUM(H22:S22)</f>
        <v/>
      </c>
    </row>
    <row r="23">
      <c r="A23" s="15" t="inlineStr">
        <is>
          <t>20</t>
        </is>
      </c>
      <c r="B23" s="92" t="inlineStr">
        <is>
          <t>1770</t>
        </is>
      </c>
      <c r="C23" s="45" t="inlineStr">
        <is>
          <t>IDA ACHIENG</t>
        </is>
      </c>
      <c r="D23" s="16">
        <f>'FORM 2 2025'!T23</f>
        <v/>
      </c>
      <c r="E23" s="98" t="n">
        <v>2200</v>
      </c>
      <c r="F23" s="99" t="n"/>
      <c r="G23" s="97" t="n"/>
      <c r="H23" s="17" t="n">
        <v>600</v>
      </c>
      <c r="I23" s="17" t="n"/>
      <c r="J23" s="17" t="n"/>
      <c r="K23" s="17" t="n"/>
      <c r="L23" s="17" t="n"/>
      <c r="M23" s="17" t="n"/>
      <c r="N23" s="17" t="n"/>
      <c r="O23" s="17" t="n"/>
      <c r="P23" s="37" t="n"/>
      <c r="Q23" s="17" t="n"/>
      <c r="R23" s="17" t="n"/>
      <c r="S23" s="17" t="n"/>
      <c r="T23" s="1">
        <f>D23+SUM(E23:G23)-SUM(H23:S23)</f>
        <v/>
      </c>
    </row>
    <row r="24">
      <c r="A24" s="15" t="inlineStr">
        <is>
          <t>21</t>
        </is>
      </c>
      <c r="B24" s="92" t="inlineStr">
        <is>
          <t>1772</t>
        </is>
      </c>
      <c r="C24" s="45" t="inlineStr">
        <is>
          <t>VALLARY AUMA</t>
        </is>
      </c>
      <c r="D24" s="16">
        <f>'FORM 2 2025'!T24</f>
        <v/>
      </c>
      <c r="E24" s="98" t="n">
        <v>2200</v>
      </c>
      <c r="F24" s="99" t="n"/>
      <c r="G24" s="97" t="n"/>
      <c r="H24" s="17" t="n">
        <v>300</v>
      </c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" t="n"/>
    </row>
    <row r="25">
      <c r="A25" s="15" t="inlineStr">
        <is>
          <t>15</t>
        </is>
      </c>
      <c r="B25" s="92" t="n">
        <v>1774</v>
      </c>
      <c r="C25" s="92" t="inlineStr">
        <is>
          <t>DAVINE AWUOR</t>
        </is>
      </c>
      <c r="D25" s="16">
        <f>'FORM 2 2025'!T25</f>
        <v/>
      </c>
      <c r="E25" s="96" t="n">
        <v>2200</v>
      </c>
      <c r="F25" s="97" t="n"/>
      <c r="G25" s="110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1">
        <f>D25+SUM(E25:G25)-SUM(H25:S25)</f>
        <v/>
      </c>
    </row>
    <row r="26">
      <c r="A26" s="15" t="inlineStr">
        <is>
          <t>23</t>
        </is>
      </c>
      <c r="B26" s="92" t="inlineStr">
        <is>
          <t>1781</t>
        </is>
      </c>
      <c r="C26" s="92" t="inlineStr">
        <is>
          <t>LOREEN  ATARO</t>
        </is>
      </c>
      <c r="D26" s="16">
        <f>'FORM 2 2025'!T26</f>
        <v/>
      </c>
      <c r="E26" s="96" t="n">
        <v>2200</v>
      </c>
      <c r="F26" s="97" t="n"/>
      <c r="G26" s="110" t="n"/>
      <c r="H26" s="17" t="n">
        <v>800</v>
      </c>
      <c r="I26" s="17" t="n">
        <v>500</v>
      </c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">
        <f>D26+SUM(E26:G26)-SUM(H26:S26)</f>
        <v/>
      </c>
    </row>
    <row r="27">
      <c r="A27" s="15" t="inlineStr">
        <is>
          <t>24</t>
        </is>
      </c>
      <c r="B27" s="92" t="inlineStr">
        <is>
          <t>1783</t>
        </is>
      </c>
      <c r="C27" s="92" t="inlineStr">
        <is>
          <t>VIOLET AKINYI AKUKU</t>
        </is>
      </c>
      <c r="D27" s="16">
        <f>'FORM 2 2025'!T27</f>
        <v/>
      </c>
      <c r="E27" s="96" t="n">
        <v>2200</v>
      </c>
      <c r="F27" s="97" t="n"/>
      <c r="G27" s="110" t="n"/>
      <c r="H27" s="17" t="n">
        <v>100</v>
      </c>
      <c r="I27" s="17" t="n">
        <v>100</v>
      </c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">
        <f>D27+SUM(E27:G27)-SUM(H27:S27)</f>
        <v/>
      </c>
    </row>
    <row r="28">
      <c r="A28" s="15" t="inlineStr">
        <is>
          <t>25</t>
        </is>
      </c>
      <c r="B28" s="92" t="inlineStr">
        <is>
          <t>1786</t>
        </is>
      </c>
      <c r="C28" s="92" t="inlineStr">
        <is>
          <t>MAGRET AKINYI</t>
        </is>
      </c>
      <c r="D28" s="16">
        <f>'FORM 2 2025'!T28</f>
        <v/>
      </c>
      <c r="E28" s="96" t="n">
        <v>2200</v>
      </c>
      <c r="F28" s="97" t="n"/>
      <c r="G28" s="110" t="n"/>
      <c r="H28" s="17" t="n">
        <v>200</v>
      </c>
      <c r="I28" s="91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">
        <f>D28+SUM(E28:G28)-SUM(H28:S28)</f>
        <v/>
      </c>
    </row>
    <row r="29">
      <c r="A29" s="15" t="inlineStr">
        <is>
          <t>26</t>
        </is>
      </c>
      <c r="B29" s="92" t="n">
        <v>1787</v>
      </c>
      <c r="C29" s="45" t="inlineStr">
        <is>
          <t>SUSAN ADHIAMBO</t>
        </is>
      </c>
      <c r="D29" s="16">
        <f>'FORM 2 2025'!T29</f>
        <v/>
      </c>
      <c r="E29" s="98" t="n">
        <v>2200</v>
      </c>
      <c r="F29" s="99" t="n"/>
      <c r="G29" s="9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">
        <f>D29+SUM(E29:G29)-SUM(H29:S29)</f>
        <v/>
      </c>
    </row>
    <row r="30">
      <c r="A30" s="15" t="inlineStr">
        <is>
          <t>27</t>
        </is>
      </c>
      <c r="B30" s="92" t="inlineStr">
        <is>
          <t>1789</t>
        </is>
      </c>
      <c r="C30" s="92" t="inlineStr">
        <is>
          <t>PEREZ ATIENO</t>
        </is>
      </c>
      <c r="D30" s="16">
        <f>'FORM 2 2025'!T30</f>
        <v/>
      </c>
      <c r="E30" s="98" t="n">
        <v>2200</v>
      </c>
      <c r="F30" s="99" t="n"/>
      <c r="G30" s="97" t="n"/>
      <c r="H30" s="20" t="n">
        <v>200</v>
      </c>
      <c r="I30" s="91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">
        <f>D30+SUM(E30:G30)-SUM(H30:S30)</f>
        <v/>
      </c>
    </row>
    <row r="31" ht="15.75" customHeight="1" s="101" thickBot="1">
      <c r="A31" s="21" t="n"/>
      <c r="B31" s="21" t="n"/>
      <c r="C31" s="22" t="inlineStr">
        <is>
          <t>TOTAL</t>
        </is>
      </c>
      <c r="D31" s="7">
        <f>SUM(D5:D30)</f>
        <v/>
      </c>
      <c r="E31" s="72">
        <f>SUM(E1:E27)</f>
        <v/>
      </c>
      <c r="F31" s="8">
        <f>SUM(F5:F30)</f>
        <v/>
      </c>
      <c r="G31" s="8">
        <f>SUM(G5:G30)</f>
        <v/>
      </c>
      <c r="H31" s="8">
        <f>SUM(H5:H30)</f>
        <v/>
      </c>
      <c r="I31" s="8">
        <f>SUM(I5:I30)</f>
        <v/>
      </c>
      <c r="J31" s="8">
        <f>SUM(J5:J30)</f>
        <v/>
      </c>
      <c r="K31" s="8">
        <f>SUM(K5:K30)</f>
        <v/>
      </c>
      <c r="L31" s="8">
        <f>SUM(L5:L30)</f>
        <v/>
      </c>
      <c r="M31" s="8">
        <f>SUM(M5:M30)</f>
        <v/>
      </c>
      <c r="N31" s="8">
        <f>SUM(N5:N30)</f>
        <v/>
      </c>
      <c r="O31" s="8">
        <f>SUM(O5:O30)</f>
        <v/>
      </c>
      <c r="P31" s="8">
        <f>SUM(P5:P30)</f>
        <v/>
      </c>
      <c r="Q31" s="8">
        <f>SUM(Q5:Q30)</f>
        <v/>
      </c>
      <c r="R31" s="8">
        <f>SUM(R5:R30)</f>
        <v/>
      </c>
      <c r="S31" s="8">
        <f>SUM(S5:S30)</f>
        <v/>
      </c>
      <c r="T31" s="9">
        <f>SUM(T5:T30)</f>
        <v/>
      </c>
    </row>
    <row r="32">
      <c r="A32" s="46" t="n"/>
      <c r="B32" s="46" t="n"/>
      <c r="C32" s="47" t="n"/>
      <c r="D32" s="48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50" t="n"/>
    </row>
    <row r="33">
      <c r="A33" s="46" t="n"/>
      <c r="B33" s="46" t="n"/>
      <c r="C33" s="47" t="n"/>
      <c r="D33" s="48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50" t="n"/>
    </row>
    <row r="34">
      <c r="A34" s="46" t="n"/>
      <c r="B34" s="46" t="n"/>
      <c r="C34" s="47" t="n"/>
      <c r="D34" s="48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50" t="n"/>
    </row>
    <row r="35" ht="18" customHeight="1" s="101">
      <c r="A35" s="100" t="inlineStr">
        <is>
          <t>KIREMBE SECONDARY SCHOOL.</t>
        </is>
      </c>
    </row>
    <row r="36">
      <c r="A36" s="108" t="inlineStr">
        <is>
          <t>REMEDIAL PAYMENTS (FORM 3 A)</t>
        </is>
      </c>
      <c r="E36" s="14" t="n"/>
      <c r="H36" s="14" t="n"/>
      <c r="I36" s="14" t="inlineStr">
        <is>
          <t>1ST TERM</t>
        </is>
      </c>
      <c r="J36" s="14" t="n"/>
      <c r="K36" s="14" t="n"/>
      <c r="L36" s="14" t="inlineStr">
        <is>
          <t>2ND TERM</t>
        </is>
      </c>
      <c r="M36" s="14" t="n"/>
      <c r="N36" s="14" t="n"/>
      <c r="O36" s="14" t="n"/>
      <c r="P36" s="14" t="inlineStr">
        <is>
          <t>3RD TERM</t>
        </is>
      </c>
    </row>
    <row r="37">
      <c r="A37" s="36" t="inlineStr">
        <is>
          <t>NO.</t>
        </is>
      </c>
      <c r="B37" s="36" t="inlineStr">
        <is>
          <t>ADM</t>
        </is>
      </c>
      <c r="C37" t="inlineStr">
        <is>
          <t>NAME</t>
        </is>
      </c>
      <c r="E37" s="103" t="inlineStr">
        <is>
          <t>DEBT</t>
        </is>
      </c>
      <c r="H37" s="104" t="inlineStr">
        <is>
          <t>REPAYMENT</t>
        </is>
      </c>
    </row>
    <row r="38">
      <c r="A38" s="12" t="n"/>
      <c r="B38" s="12" t="n"/>
      <c r="C38" s="13" t="n"/>
      <c r="D38" s="13" t="inlineStr">
        <is>
          <t>ARREAS</t>
        </is>
      </c>
      <c r="E38" s="105" t="n">
        <v>2026</v>
      </c>
      <c r="F38" s="106" t="n"/>
      <c r="G38" s="106" t="n"/>
      <c r="H38" s="13" t="inlineStr">
        <is>
          <t>JAN</t>
        </is>
      </c>
      <c r="I38" s="13" t="inlineStr">
        <is>
          <t>FEB</t>
        </is>
      </c>
      <c r="J38" s="13" t="inlineStr">
        <is>
          <t>MAR</t>
        </is>
      </c>
      <c r="K38" s="13" t="inlineStr">
        <is>
          <t>APR</t>
        </is>
      </c>
      <c r="L38" s="13" t="inlineStr">
        <is>
          <t>MAY</t>
        </is>
      </c>
      <c r="M38" s="13" t="inlineStr">
        <is>
          <t>JUN</t>
        </is>
      </c>
      <c r="N38" s="13" t="inlineStr">
        <is>
          <t>JUL</t>
        </is>
      </c>
      <c r="O38" s="13" t="inlineStr">
        <is>
          <t>AUG</t>
        </is>
      </c>
      <c r="P38" s="13" t="inlineStr">
        <is>
          <t>SEP</t>
        </is>
      </c>
      <c r="Q38" s="13" t="inlineStr">
        <is>
          <t>OCT</t>
        </is>
      </c>
      <c r="R38" s="13" t="inlineStr">
        <is>
          <t>NOV</t>
        </is>
      </c>
      <c r="S38" s="13" t="inlineStr">
        <is>
          <t>PRE PAID</t>
        </is>
      </c>
      <c r="T38" s="13" t="inlineStr">
        <is>
          <t>BALANCE</t>
        </is>
      </c>
    </row>
    <row r="39">
      <c r="A39" s="15" t="n"/>
      <c r="B39" s="92" t="n">
        <v>1</v>
      </c>
      <c r="C39" s="24" t="inlineStr">
        <is>
          <t>BALANCE B/D</t>
        </is>
      </c>
      <c r="D39" s="25">
        <f>D31</f>
        <v/>
      </c>
      <c r="E39" s="98">
        <f>E31</f>
        <v/>
      </c>
      <c r="F39" s="99" t="n"/>
      <c r="G39" s="97" t="n"/>
      <c r="H39" s="26">
        <f>H31</f>
        <v/>
      </c>
      <c r="I39" s="27">
        <f>I31</f>
        <v/>
      </c>
      <c r="J39" s="27">
        <f>J31</f>
        <v/>
      </c>
      <c r="K39" s="27">
        <f>K31</f>
        <v/>
      </c>
      <c r="L39" s="27">
        <f>L31</f>
        <v/>
      </c>
      <c r="M39" s="27">
        <f>M31</f>
        <v/>
      </c>
      <c r="N39" s="27">
        <f>N31</f>
        <v/>
      </c>
      <c r="O39" s="27">
        <f>O31</f>
        <v/>
      </c>
      <c r="P39" s="27">
        <f>P31</f>
        <v/>
      </c>
      <c r="Q39" s="27">
        <f>Q31</f>
        <v/>
      </c>
      <c r="R39" s="27">
        <f>R31</f>
        <v/>
      </c>
      <c r="S39" s="26">
        <f>S31</f>
        <v/>
      </c>
      <c r="T39" s="1">
        <f>T31</f>
        <v/>
      </c>
    </row>
    <row r="40">
      <c r="A40" s="15" t="inlineStr">
        <is>
          <t>28</t>
        </is>
      </c>
      <c r="B40" s="92" t="n">
        <v>1793</v>
      </c>
      <c r="C40" s="23" t="inlineStr">
        <is>
          <t>STACY ADHIAMBO</t>
        </is>
      </c>
      <c r="D40" s="19">
        <f>'FORM 2 2025'!T40</f>
        <v/>
      </c>
      <c r="E40" s="98" t="n">
        <v>2200</v>
      </c>
      <c r="F40" s="99" t="n"/>
      <c r="G40" s="97" t="n"/>
      <c r="H40" s="17" t="n">
        <v>0</v>
      </c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">
        <f>D40+SUM(E40:G40)-SUM(H40:S40)</f>
        <v/>
      </c>
    </row>
    <row r="41">
      <c r="A41" s="15" t="inlineStr">
        <is>
          <t>29</t>
        </is>
      </c>
      <c r="B41" s="92" t="n">
        <v>1794</v>
      </c>
      <c r="C41" s="45" t="inlineStr">
        <is>
          <t>SCOVIAN AKINYI</t>
        </is>
      </c>
      <c r="D41" s="19">
        <f>'FORM 2 2025'!T41</f>
        <v/>
      </c>
      <c r="E41" s="96" t="n">
        <v>2200</v>
      </c>
      <c r="F41" s="97" t="n"/>
      <c r="G41" s="110" t="n"/>
      <c r="H41" s="17" t="n">
        <v>0</v>
      </c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">
        <f>D41+SUM(E41:G41)-SUM(H41:S41)</f>
        <v/>
      </c>
    </row>
    <row r="42">
      <c r="A42" s="15" t="inlineStr">
        <is>
          <t>30</t>
        </is>
      </c>
      <c r="B42" s="92" t="inlineStr">
        <is>
          <t>1797</t>
        </is>
      </c>
      <c r="C42" s="45" t="inlineStr">
        <is>
          <t>LUDY ATIENO</t>
        </is>
      </c>
      <c r="D42" s="19">
        <f>'FORM 2 2025'!T42</f>
        <v/>
      </c>
      <c r="E42" s="96" t="n">
        <v>2200</v>
      </c>
      <c r="F42" s="97" t="n"/>
      <c r="G42" s="110" t="n"/>
      <c r="H42" s="17" t="n"/>
      <c r="I42" s="91" t="n"/>
      <c r="J42" s="17" t="n"/>
      <c r="K42" s="17" t="n"/>
      <c r="L42" s="17" t="n"/>
      <c r="M42" s="17" t="n"/>
      <c r="N42" s="17" t="n"/>
      <c r="O42" s="17" t="n"/>
      <c r="P42" s="17" t="n">
        <v>750</v>
      </c>
      <c r="Q42" s="17" t="n"/>
      <c r="R42" s="17" t="n"/>
      <c r="S42" s="17" t="n"/>
      <c r="T42" s="1">
        <f>D42+SUM(E42:G42)-SUM(H42:S42)</f>
        <v/>
      </c>
    </row>
    <row r="43">
      <c r="A43" s="15" t="inlineStr">
        <is>
          <t>31</t>
        </is>
      </c>
      <c r="B43" s="92" t="n">
        <v>1802</v>
      </c>
      <c r="C43" s="45" t="inlineStr">
        <is>
          <t>STACY  .A.OTUOMA</t>
        </is>
      </c>
      <c r="D43" s="19">
        <f>'FORM 2 2025'!T43</f>
        <v/>
      </c>
      <c r="E43" s="98" t="n">
        <v>2200</v>
      </c>
      <c r="F43" s="99" t="n"/>
      <c r="G43" s="97" t="n"/>
      <c r="H43" s="17" t="n">
        <v>0</v>
      </c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1">
        <f>D43+SUM(E43:G43)-SUM(H43:S43)</f>
        <v/>
      </c>
    </row>
    <row r="44">
      <c r="A44" s="15" t="inlineStr">
        <is>
          <t>32</t>
        </is>
      </c>
      <c r="B44" s="92" t="n">
        <v>1815</v>
      </c>
      <c r="C44" s="92" t="inlineStr">
        <is>
          <t>RECHO ATIENO</t>
        </is>
      </c>
      <c r="D44" s="19">
        <f>'FORM 2 2025'!T44</f>
        <v/>
      </c>
      <c r="E44" s="96" t="n">
        <v>2200</v>
      </c>
      <c r="F44" s="97" t="n"/>
      <c r="G44" s="110" t="n"/>
      <c r="H44" s="17" t="n">
        <v>0</v>
      </c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">
        <f>D44+SUM(E44:G44)-SUM(H44:S44)</f>
        <v/>
      </c>
    </row>
    <row r="45">
      <c r="A45" s="15" t="inlineStr">
        <is>
          <t>33</t>
        </is>
      </c>
      <c r="B45" s="92" t="n">
        <v>1818</v>
      </c>
      <c r="C45" s="92" t="inlineStr">
        <is>
          <t>MILDRED ATIENO</t>
        </is>
      </c>
      <c r="D45" s="19">
        <f>'FORM 2 2025'!T45</f>
        <v/>
      </c>
      <c r="E45" s="96" t="n">
        <v>2200</v>
      </c>
      <c r="F45" s="97" t="n"/>
      <c r="G45" s="110" t="n"/>
      <c r="H45" s="17" t="n">
        <v>0</v>
      </c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">
        <f>D45+SUM(E45:F45)-SUM(H45:S45)</f>
        <v/>
      </c>
    </row>
    <row r="46">
      <c r="A46" s="15" t="inlineStr">
        <is>
          <t>34</t>
        </is>
      </c>
      <c r="B46" s="92" t="inlineStr">
        <is>
          <t>1819</t>
        </is>
      </c>
      <c r="C46" s="92" t="inlineStr">
        <is>
          <t>MITCHEL ATIENO</t>
        </is>
      </c>
      <c r="D46" s="19">
        <f>'FORM 2 2025'!T46</f>
        <v/>
      </c>
      <c r="E46" s="96" t="n">
        <v>2200</v>
      </c>
      <c r="F46" s="97" t="n"/>
      <c r="G46" s="110" t="n"/>
      <c r="H46" s="17" t="n"/>
      <c r="I46" s="17" t="n"/>
      <c r="J46" s="17" t="n"/>
      <c r="K46" s="17" t="n"/>
      <c r="L46" s="17" t="n"/>
      <c r="M46" s="17" t="n">
        <v>1500</v>
      </c>
      <c r="N46" s="17" t="n"/>
      <c r="O46" s="17" t="n"/>
      <c r="P46" s="17" t="n"/>
      <c r="Q46" s="17" t="n"/>
      <c r="R46" s="17" t="n"/>
      <c r="S46" s="17" t="n"/>
      <c r="T46" s="1" t="n"/>
    </row>
    <row r="47">
      <c r="A47" s="15" t="inlineStr">
        <is>
          <t>36</t>
        </is>
      </c>
      <c r="B47" s="92" t="inlineStr">
        <is>
          <t>1828</t>
        </is>
      </c>
      <c r="C47" s="45" t="inlineStr">
        <is>
          <t>JANE ATIENO</t>
        </is>
      </c>
      <c r="D47" s="19">
        <f>'FORM 2 2025'!T47</f>
        <v/>
      </c>
      <c r="E47" s="98" t="n">
        <v>2200</v>
      </c>
      <c r="F47" s="99" t="n"/>
      <c r="G47" s="97" t="n"/>
      <c r="H47" s="17" t="n">
        <v>800</v>
      </c>
      <c r="I47" s="17" t="n"/>
      <c r="J47" s="17" t="n"/>
      <c r="K47" s="17" t="n"/>
      <c r="L47" s="37" t="n"/>
      <c r="M47" s="17" t="n"/>
      <c r="N47" s="17" t="n"/>
      <c r="O47" s="17" t="n"/>
      <c r="P47" s="17" t="n"/>
      <c r="Q47" s="17" t="n"/>
      <c r="R47" s="17" t="n"/>
      <c r="S47" s="17" t="n"/>
      <c r="T47" s="10" t="n"/>
    </row>
    <row r="48">
      <c r="A48" s="15" t="inlineStr">
        <is>
          <t>37</t>
        </is>
      </c>
      <c r="B48" s="92" t="n">
        <v>1831</v>
      </c>
      <c r="C48" s="92" t="inlineStr">
        <is>
          <t>TRACY A OCHIENG</t>
        </is>
      </c>
      <c r="D48" s="19">
        <f>'FORM 2 2025'!T48</f>
        <v/>
      </c>
      <c r="E48" s="96" t="n">
        <v>2200</v>
      </c>
      <c r="F48" s="97" t="n"/>
      <c r="G48" s="110" t="n"/>
      <c r="H48" s="17" t="n">
        <v>0</v>
      </c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">
        <f>D48+SUM(E48:G48)-SUM(H48:S48)</f>
        <v/>
      </c>
    </row>
    <row r="49">
      <c r="A49" s="15" t="inlineStr">
        <is>
          <t>38</t>
        </is>
      </c>
      <c r="B49" s="92" t="n">
        <v>1836</v>
      </c>
      <c r="C49" s="92" t="inlineStr">
        <is>
          <t>EDEL  ATIENO</t>
        </is>
      </c>
      <c r="D49" s="19">
        <f>'FORM 2 2025'!T49</f>
        <v/>
      </c>
      <c r="E49" s="96" t="n">
        <v>2200</v>
      </c>
      <c r="F49" s="97" t="n"/>
      <c r="G49" s="110" t="n"/>
      <c r="H49" s="17" t="n">
        <v>0</v>
      </c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">
        <f>D49+SUM(E49:G49)-SUM(H49:S49)</f>
        <v/>
      </c>
    </row>
    <row r="50">
      <c r="A50" s="15" t="inlineStr">
        <is>
          <t>39</t>
        </is>
      </c>
      <c r="B50" s="92" t="inlineStr">
        <is>
          <t>1839</t>
        </is>
      </c>
      <c r="C50" s="92" t="inlineStr">
        <is>
          <t>CAROLINE AKINYI</t>
        </is>
      </c>
      <c r="D50" s="19">
        <f>'FORM 2 2025'!T50</f>
        <v/>
      </c>
      <c r="E50" s="96" t="n">
        <v>2200</v>
      </c>
      <c r="F50" s="97" t="n"/>
      <c r="G50" s="110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>
        <v>2200</v>
      </c>
      <c r="Q50" s="17" t="n"/>
      <c r="R50" s="17" t="n"/>
      <c r="S50" s="17" t="n"/>
      <c r="T50" s="1">
        <f>D50+SUM(E50:G50)-SUM(H50:S50)</f>
        <v/>
      </c>
    </row>
    <row r="51">
      <c r="A51" s="15" t="inlineStr">
        <is>
          <t>40</t>
        </is>
      </c>
      <c r="B51" s="92" t="n">
        <v>1840</v>
      </c>
      <c r="C51" s="45" t="inlineStr">
        <is>
          <t>LATIFA ABUBAKAR</t>
        </is>
      </c>
      <c r="D51" s="19">
        <f>'FORM 2 2025'!T51</f>
        <v/>
      </c>
      <c r="E51" s="96" t="n">
        <v>2200</v>
      </c>
      <c r="F51" s="97" t="n"/>
      <c r="G51" s="110" t="n"/>
      <c r="H51" s="17" t="n">
        <v>0</v>
      </c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">
        <f>D51+SUM(E51:G51)-SUM(H51:S51)</f>
        <v/>
      </c>
    </row>
    <row r="52">
      <c r="A52" s="15" t="inlineStr">
        <is>
          <t>41</t>
        </is>
      </c>
      <c r="B52" s="92" t="n">
        <v>1844</v>
      </c>
      <c r="C52" s="45" t="inlineStr">
        <is>
          <t>BETTY ODERA</t>
        </is>
      </c>
      <c r="D52" s="19">
        <f>'FORM 2 2025'!T52</f>
        <v/>
      </c>
      <c r="E52" s="96" t="n">
        <v>2200</v>
      </c>
      <c r="F52" s="97" t="n"/>
      <c r="G52" s="110" t="n"/>
      <c r="H52" s="17" t="n">
        <v>0</v>
      </c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1">
        <f>D52+SUM(E52:G52)-SUM(H52:S52)</f>
        <v/>
      </c>
    </row>
    <row r="53">
      <c r="A53" s="15" t="inlineStr">
        <is>
          <t>42</t>
        </is>
      </c>
      <c r="B53" s="92" t="n">
        <v>1846</v>
      </c>
      <c r="C53" s="92" t="inlineStr">
        <is>
          <t>MITCHEL AUMA</t>
        </is>
      </c>
      <c r="D53" s="19">
        <f>'FORM 2 2025'!T53</f>
        <v/>
      </c>
      <c r="E53" s="96" t="n">
        <v>2200</v>
      </c>
      <c r="F53" s="97" t="n"/>
      <c r="G53" s="110" t="n"/>
      <c r="H53" s="17" t="n">
        <v>0</v>
      </c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">
        <f>D53+SUM(E53:G53)-SUM(H53:S53)</f>
        <v/>
      </c>
    </row>
    <row r="54">
      <c r="A54" s="15" t="inlineStr">
        <is>
          <t>43</t>
        </is>
      </c>
      <c r="B54" s="92" t="n">
        <v>1851</v>
      </c>
      <c r="C54" s="45" t="inlineStr">
        <is>
          <t>LIZA BROWN</t>
        </is>
      </c>
      <c r="D54" s="19">
        <f>'FORM 2 2025'!T54</f>
        <v/>
      </c>
      <c r="E54" s="96" t="n">
        <v>2200</v>
      </c>
      <c r="F54" s="97" t="n"/>
      <c r="G54" s="110" t="n"/>
      <c r="H54" s="17" t="n">
        <v>100</v>
      </c>
      <c r="I54" s="91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">
        <f>D54+SUM(E54:G54)-SUM(H54:S54)</f>
        <v/>
      </c>
    </row>
    <row r="55">
      <c r="A55" s="15" t="inlineStr">
        <is>
          <t>44</t>
        </is>
      </c>
      <c r="B55" s="92" t="n">
        <v>1858</v>
      </c>
      <c r="C55" s="92" t="inlineStr">
        <is>
          <t>JOY AKINYI</t>
        </is>
      </c>
      <c r="D55" s="19">
        <f>'FORM 2 2025'!T55</f>
        <v/>
      </c>
      <c r="E55" s="98" t="n">
        <v>2200</v>
      </c>
      <c r="F55" s="99" t="n"/>
      <c r="G55" s="97" t="n"/>
      <c r="H55" s="17" t="n">
        <v>0</v>
      </c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">
        <f>D55+SUM(E55:G55)-SUM(H55:S55)</f>
        <v/>
      </c>
    </row>
    <row r="56">
      <c r="A56" s="15" t="inlineStr">
        <is>
          <t>45</t>
        </is>
      </c>
      <c r="B56" s="92" t="inlineStr">
        <is>
          <t>1912</t>
        </is>
      </c>
      <c r="C56" s="45" t="inlineStr">
        <is>
          <t>ATIENO   CHERYL</t>
        </is>
      </c>
      <c r="D56" s="19" t="n"/>
      <c r="E56" s="96" t="n">
        <v>2200</v>
      </c>
      <c r="F56" s="97" t="n"/>
      <c r="G56" s="110" t="n"/>
      <c r="H56" s="17" t="n"/>
      <c r="I56" s="91" t="n"/>
      <c r="J56" s="17" t="n"/>
      <c r="K56" s="17" t="n"/>
      <c r="L56" s="17" t="n"/>
      <c r="M56" s="17" t="n"/>
      <c r="N56" s="17" t="n"/>
      <c r="O56" s="17" t="n">
        <v>400</v>
      </c>
      <c r="P56" s="17" t="n">
        <v>1800</v>
      </c>
      <c r="Q56" s="17" t="n"/>
      <c r="R56" s="17" t="n"/>
      <c r="S56" s="17" t="n"/>
      <c r="T56" s="1">
        <f>D56+SUM(E56:G56)-SUM(H56:S56)</f>
        <v/>
      </c>
    </row>
    <row r="57">
      <c r="A57" s="15" t="inlineStr">
        <is>
          <t>44</t>
        </is>
      </c>
      <c r="B57" s="92" t="n">
        <v>1913</v>
      </c>
      <c r="C57" s="45" t="inlineStr">
        <is>
          <t>ONYANGO  EVLYNE</t>
        </is>
      </c>
      <c r="D57" s="19" t="n"/>
      <c r="E57" s="96" t="n">
        <v>2200</v>
      </c>
      <c r="F57" s="97" t="n"/>
      <c r="G57" s="110" t="n"/>
      <c r="H57" s="17" t="n">
        <v>0</v>
      </c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">
        <f>D57+SUM(E57:G57)-SUM(H57:S57)</f>
        <v/>
      </c>
    </row>
    <row r="58">
      <c r="A58" s="15" t="inlineStr">
        <is>
          <t>46</t>
        </is>
      </c>
      <c r="B58" s="92" t="inlineStr">
        <is>
          <t>1914</t>
        </is>
      </c>
      <c r="C58" s="45" t="inlineStr">
        <is>
          <t>GRACE ATIENO</t>
        </is>
      </c>
      <c r="D58" s="19" t="n"/>
      <c r="E58" s="96" t="n">
        <v>2200</v>
      </c>
      <c r="F58" s="97" t="n"/>
      <c r="G58" s="110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>
        <v>200</v>
      </c>
      <c r="Q58" s="17" t="n"/>
      <c r="R58" s="17" t="n"/>
      <c r="S58" s="17" t="n"/>
      <c r="T58" s="1">
        <f>D58+SUM(E58:G58)-SUM(H58:S58)</f>
        <v/>
      </c>
    </row>
    <row r="59">
      <c r="A59" s="15" t="n"/>
      <c r="B59" s="92" t="n"/>
      <c r="C59" s="45" t="n"/>
      <c r="D59" s="16" t="n"/>
      <c r="E59" s="80" t="n"/>
      <c r="F59" s="81" t="n"/>
      <c r="G59" s="110" t="n"/>
      <c r="H59" s="17" t="n">
        <v>0</v>
      </c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" t="n"/>
    </row>
    <row r="60">
      <c r="A60" s="15" t="n"/>
      <c r="B60" s="92" t="n"/>
      <c r="C60" s="45" t="n"/>
      <c r="D60" s="16" t="n"/>
      <c r="E60" s="80" t="n"/>
      <c r="F60" s="81" t="n"/>
      <c r="G60" s="110" t="n"/>
      <c r="H60" s="17" t="n">
        <v>0</v>
      </c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" t="n"/>
    </row>
    <row r="61">
      <c r="A61" s="15" t="n"/>
      <c r="B61" s="92" t="n"/>
      <c r="C61" s="45" t="n"/>
      <c r="D61" s="16" t="n"/>
      <c r="E61" s="96" t="n"/>
      <c r="F61" s="97" t="n"/>
      <c r="G61" s="110" t="n"/>
      <c r="H61" s="17" t="n">
        <v>0</v>
      </c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">
        <f>D61+SUM(E61:G61)-SUM(H61:S61)</f>
        <v/>
      </c>
    </row>
    <row r="62">
      <c r="A62" s="15" t="n"/>
      <c r="B62" s="92" t="n"/>
      <c r="C62" s="45" t="n"/>
      <c r="D62" s="19" t="n"/>
      <c r="E62" s="66" t="n"/>
      <c r="F62" s="67" t="n"/>
      <c r="G62" s="3" t="n"/>
      <c r="H62" s="17" t="n">
        <v>0</v>
      </c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68" t="n"/>
    </row>
    <row r="63">
      <c r="A63" s="15" t="n"/>
      <c r="B63" s="92" t="n"/>
      <c r="C63" s="45" t="n"/>
      <c r="D63" s="19" t="n"/>
      <c r="E63" s="66" t="n"/>
      <c r="F63" s="67" t="n"/>
      <c r="G63" s="3" t="n"/>
      <c r="H63" s="17" t="n">
        <v>0</v>
      </c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68" t="n"/>
    </row>
    <row r="64">
      <c r="A64" s="15" t="n"/>
      <c r="B64" s="92" t="n"/>
      <c r="C64" s="45" t="n"/>
      <c r="D64" s="19" t="n"/>
      <c r="E64" s="66" t="n"/>
      <c r="F64" s="67" t="n"/>
      <c r="G64" s="3" t="n"/>
      <c r="H64" s="17" t="n">
        <v>0</v>
      </c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68" t="n"/>
    </row>
    <row r="65">
      <c r="A65" s="15" t="n"/>
      <c r="B65" s="92" t="n"/>
      <c r="C65" s="45" t="n"/>
      <c r="D65" s="19" t="n"/>
      <c r="E65" s="66" t="n"/>
      <c r="F65" s="67" t="n"/>
      <c r="G65" s="3" t="n"/>
      <c r="H65" s="17" t="n">
        <v>0</v>
      </c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68" t="n"/>
    </row>
    <row r="66">
      <c r="A66" s="15" t="n"/>
      <c r="B66" s="92" t="n"/>
      <c r="C66" s="45" t="n"/>
      <c r="D66" s="19" t="n"/>
      <c r="E66" s="66" t="n"/>
      <c r="F66" s="67" t="n"/>
      <c r="G66" s="3" t="n"/>
      <c r="H66" s="17" t="n">
        <v>0</v>
      </c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68" t="n"/>
    </row>
    <row r="67">
      <c r="A67" s="15" t="n"/>
      <c r="B67" s="92" t="n"/>
      <c r="C67" s="45" t="n"/>
      <c r="D67" s="19" t="n"/>
      <c r="E67" s="66" t="n"/>
      <c r="F67" s="67" t="n"/>
      <c r="G67" s="3" t="n"/>
      <c r="H67" s="17" t="n">
        <v>0</v>
      </c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68" t="n"/>
    </row>
    <row r="68">
      <c r="A68" s="15" t="n"/>
      <c r="B68" s="92" t="n"/>
      <c r="C68" s="45" t="n"/>
      <c r="D68" s="19" t="n"/>
      <c r="E68" s="66" t="n"/>
      <c r="F68" s="67" t="n"/>
      <c r="G68" s="3" t="n"/>
      <c r="H68" s="17" t="n">
        <v>0</v>
      </c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68" t="n"/>
    </row>
    <row r="69">
      <c r="A69" s="15" t="n"/>
      <c r="B69" s="92" t="n"/>
      <c r="C69" s="45" t="n"/>
      <c r="D69" s="19" t="n"/>
      <c r="E69" s="66" t="n"/>
      <c r="F69" s="67" t="n"/>
      <c r="G69" s="3" t="n"/>
      <c r="H69" s="17" t="n">
        <v>0</v>
      </c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68" t="n"/>
    </row>
    <row r="70">
      <c r="A70" s="15" t="n"/>
      <c r="B70" s="92" t="n"/>
      <c r="C70" s="45" t="n"/>
      <c r="D70" s="19" t="n"/>
      <c r="E70" s="66" t="n"/>
      <c r="F70" s="67" t="n"/>
      <c r="G70" s="3" t="n"/>
      <c r="H70" s="17" t="n">
        <v>0</v>
      </c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68" t="n"/>
    </row>
    <row r="71">
      <c r="A71" s="15" t="n"/>
      <c r="B71" s="92" t="n"/>
      <c r="C71" s="45" t="n"/>
      <c r="D71" s="19" t="n"/>
      <c r="E71" s="66" t="n"/>
      <c r="F71" s="67" t="n"/>
      <c r="G71" s="3" t="n"/>
      <c r="H71" s="17" t="n">
        <v>0</v>
      </c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68" t="n"/>
    </row>
    <row r="72">
      <c r="A72" s="15" t="n"/>
      <c r="B72" s="92" t="n"/>
      <c r="C72" s="45" t="n"/>
      <c r="D72" s="19" t="n"/>
      <c r="E72" s="66" t="n"/>
      <c r="F72" s="67" t="n"/>
      <c r="G72" s="3" t="n"/>
      <c r="H72" s="17" t="n">
        <v>0</v>
      </c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68" t="n"/>
    </row>
    <row r="73">
      <c r="A73" s="15" t="n"/>
      <c r="B73" s="92" t="n"/>
      <c r="C73" s="45" t="n"/>
      <c r="D73" s="19" t="n"/>
      <c r="E73" s="66" t="n"/>
      <c r="F73" s="67" t="n"/>
      <c r="G73" s="3" t="n"/>
      <c r="H73" s="17" t="n">
        <v>0</v>
      </c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68" t="n"/>
    </row>
    <row r="74">
      <c r="A74" s="15" t="n"/>
      <c r="B74" s="92" t="n"/>
      <c r="C74" s="45" t="n"/>
      <c r="D74" s="19" t="n"/>
      <c r="E74" s="66" t="n"/>
      <c r="F74" s="67" t="n"/>
      <c r="G74" s="3" t="n"/>
      <c r="H74" s="17" t="n">
        <v>0</v>
      </c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68" t="n"/>
    </row>
    <row r="75">
      <c r="A75" s="15" t="n"/>
      <c r="B75" s="92" t="n"/>
      <c r="C75" s="45" t="n"/>
      <c r="D75" s="19" t="n"/>
      <c r="E75" s="66" t="n"/>
      <c r="F75" s="67" t="n"/>
      <c r="G75" s="3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68" t="n"/>
    </row>
    <row r="76" ht="15.75" customHeight="1" s="101" thickBot="1">
      <c r="A76" s="21" t="n"/>
      <c r="B76" s="21" t="n"/>
      <c r="C76" s="22" t="inlineStr">
        <is>
          <t>TOTAL</t>
        </is>
      </c>
      <c r="D76" s="7">
        <f>SUM(D39:D61)</f>
        <v/>
      </c>
      <c r="E76" s="8">
        <f>SUM(E39:E61)</f>
        <v/>
      </c>
      <c r="F76" s="8">
        <f>SUM(F39:F52)</f>
        <v/>
      </c>
      <c r="G76" s="8">
        <f>SUM(G39:G52)</f>
        <v/>
      </c>
      <c r="H76" s="8">
        <f>SUM(H39:H61)</f>
        <v/>
      </c>
      <c r="I76" s="8">
        <f>SUM(I39:I61)</f>
        <v/>
      </c>
      <c r="J76" s="8">
        <f>SUM(J39:J61)</f>
        <v/>
      </c>
      <c r="K76" s="8">
        <f>SUM(K39:K52)</f>
        <v/>
      </c>
      <c r="L76" s="8">
        <f>SUM(L39:L61)</f>
        <v/>
      </c>
      <c r="M76" s="8">
        <f>SUM(M39:M61)</f>
        <v/>
      </c>
      <c r="N76" s="8">
        <f>SUM(N39:N61)</f>
        <v/>
      </c>
      <c r="O76" s="8">
        <f>SUM(O39:O61)</f>
        <v/>
      </c>
      <c r="P76" s="8">
        <f>SUM(P39:P61)</f>
        <v/>
      </c>
      <c r="Q76" s="8">
        <f>SUM(Q39:Q61)</f>
        <v/>
      </c>
      <c r="R76" s="8">
        <f>SUM(R39:R61)</f>
        <v/>
      </c>
      <c r="S76" s="8">
        <f>SUM(S39:S61)</f>
        <v/>
      </c>
      <c r="T76" s="9">
        <f>SUM(T39:T61)</f>
        <v/>
      </c>
    </row>
    <row r="77">
      <c r="A77" s="33" t="n"/>
      <c r="B77" s="33" t="n"/>
      <c r="C77" s="34" t="n"/>
      <c r="D77" s="30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2" t="n"/>
    </row>
    <row r="78">
      <c r="A78" s="33" t="n"/>
      <c r="B78" s="33" t="n"/>
      <c r="C78" s="34" t="n"/>
      <c r="D78" s="30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2" t="n"/>
    </row>
    <row r="79">
      <c r="A79" s="33" t="n"/>
      <c r="B79" s="33" t="n"/>
      <c r="C79" s="34" t="inlineStr">
        <is>
          <t>TOTAL COLLECTION 2026 (3A)</t>
        </is>
      </c>
      <c r="D79" s="30">
        <f>SUM(H76,I76,J76,K76,L76,M76,N76,O76,P76,Q76,R76,S76)+E79</f>
        <v/>
      </c>
      <c r="E79" s="31" t="n">
        <v>3700</v>
      </c>
      <c r="F79" s="31" t="n">
        <v>1300</v>
      </c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2" t="n"/>
    </row>
    <row r="80">
      <c r="A80" s="33" t="n"/>
      <c r="B80" s="33" t="n"/>
      <c r="C80" s="34" t="n"/>
      <c r="D80" s="30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2" t="n"/>
    </row>
    <row r="81">
      <c r="A81" s="33" t="n"/>
      <c r="B81" s="33" t="n"/>
      <c r="C81" s="34" t="n"/>
      <c r="D81" s="30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2" t="n"/>
    </row>
    <row r="82">
      <c r="A82" s="33" t="n"/>
      <c r="B82" s="33" t="n"/>
      <c r="C82" s="34" t="n"/>
      <c r="D82" s="30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2" t="n"/>
    </row>
    <row r="83">
      <c r="A83" s="33" t="n"/>
      <c r="B83" s="33" t="n"/>
      <c r="C83" s="34" t="n"/>
      <c r="D83" s="30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2" t="n"/>
    </row>
    <row r="84">
      <c r="A84" s="33" t="n"/>
      <c r="B84" s="33" t="n"/>
      <c r="C84" s="34" t="n"/>
      <c r="D84" s="30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2" t="n"/>
    </row>
    <row r="85">
      <c r="A85" s="33" t="n"/>
      <c r="B85" s="33" t="n"/>
      <c r="C85" s="34" t="n"/>
      <c r="D85" s="30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2" t="n"/>
    </row>
    <row r="86">
      <c r="A86" s="33" t="n"/>
      <c r="B86" s="33" t="n"/>
      <c r="C86" s="34" t="n"/>
      <c r="D86" s="30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  <c r="S86" s="31" t="n"/>
      <c r="T86" s="32" t="n"/>
    </row>
    <row r="87">
      <c r="A87" s="33" t="n"/>
      <c r="B87" s="33" t="n"/>
      <c r="C87" s="34" t="n"/>
      <c r="D87" s="30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1" t="n"/>
      <c r="Q87" s="31" t="n"/>
      <c r="R87" s="31" t="n"/>
      <c r="S87" s="31" t="n"/>
      <c r="T87" s="32" t="n"/>
    </row>
    <row r="88">
      <c r="A88" s="33" t="n"/>
      <c r="B88" s="33" t="n"/>
      <c r="C88" s="34" t="n"/>
      <c r="D88" s="30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  <c r="S88" s="31" t="n"/>
      <c r="T88" s="32" t="n"/>
    </row>
    <row r="89">
      <c r="A89" s="33" t="n"/>
      <c r="B89" s="33" t="n"/>
      <c r="C89" s="34" t="n"/>
      <c r="D89" s="30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  <c r="S89" s="31" t="n"/>
      <c r="T89" s="32" t="n"/>
    </row>
    <row r="90">
      <c r="A90" s="33" t="n"/>
      <c r="B90" s="33" t="n"/>
      <c r="C90" s="34" t="n"/>
      <c r="D90" s="30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  <c r="R90" s="31" t="n"/>
      <c r="S90" s="31" t="n"/>
      <c r="T90" s="32" t="n"/>
    </row>
    <row r="91">
      <c r="A91" s="46" t="n"/>
      <c r="B91" s="46" t="n"/>
      <c r="C91" s="47" t="n"/>
      <c r="D91" s="48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50" t="n"/>
    </row>
    <row r="92">
      <c r="A92" s="46" t="n"/>
      <c r="B92" s="46" t="n"/>
      <c r="C92" s="47" t="n"/>
      <c r="D92" s="48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50" t="n"/>
    </row>
    <row r="93">
      <c r="A93" s="46" t="n"/>
      <c r="B93" s="46" t="n"/>
      <c r="C93" s="47" t="n"/>
      <c r="D93" s="48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50" t="n"/>
    </row>
    <row r="94">
      <c r="A94" s="46" t="n"/>
      <c r="B94" s="46" t="n"/>
      <c r="C94" s="47" t="n"/>
      <c r="D94" s="48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50" t="n"/>
    </row>
    <row r="95">
      <c r="A95" s="46" t="n"/>
      <c r="B95" s="46" t="n"/>
      <c r="C95" s="47" t="n"/>
      <c r="D95" s="48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50" t="n"/>
    </row>
    <row r="96">
      <c r="A96" s="46" t="n"/>
      <c r="B96" s="46" t="n"/>
      <c r="C96" s="47" t="n"/>
      <c r="D96" s="48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50" t="n"/>
    </row>
    <row r="97">
      <c r="A97" s="46" t="n"/>
      <c r="B97" s="46" t="n"/>
      <c r="C97" s="47" t="n"/>
      <c r="D97" s="48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50" t="n"/>
    </row>
    <row r="98">
      <c r="A98" s="46" t="n"/>
      <c r="B98" s="46" t="n"/>
      <c r="C98" s="47" t="n"/>
      <c r="D98" s="48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50" t="n"/>
    </row>
    <row r="99" ht="18" customHeight="1" s="101">
      <c r="A99" s="100" t="inlineStr">
        <is>
          <t>KIREMBE SECONDARY SCHOOL.</t>
        </is>
      </c>
    </row>
    <row r="100">
      <c r="A100" s="108" t="inlineStr">
        <is>
          <t>FEE REGISTER(LUNCH)2026   FORM 3 C</t>
        </is>
      </c>
      <c r="E100" s="14" t="n"/>
      <c r="H100" s="14" t="inlineStr">
        <is>
          <t>1ST TERM</t>
        </is>
      </c>
      <c r="M100" s="14" t="inlineStr">
        <is>
          <t>2ND TERM</t>
        </is>
      </c>
      <c r="N100" s="14" t="n"/>
      <c r="P100" s="14" t="inlineStr">
        <is>
          <t>3RD TERM</t>
        </is>
      </c>
    </row>
    <row r="101">
      <c r="A101" s="36" t="inlineStr">
        <is>
          <t>NO.</t>
        </is>
      </c>
      <c r="B101" s="85" t="inlineStr">
        <is>
          <t>ADM</t>
        </is>
      </c>
      <c r="C101" t="inlineStr">
        <is>
          <t>NAME</t>
        </is>
      </c>
      <c r="E101" s="103" t="inlineStr">
        <is>
          <t>DEBT</t>
        </is>
      </c>
      <c r="H101" s="104" t="inlineStr">
        <is>
          <t>REPAYMENT</t>
        </is>
      </c>
    </row>
    <row r="102">
      <c r="A102" s="12" t="n"/>
      <c r="B102" s="12" t="n"/>
      <c r="C102" s="13" t="n"/>
      <c r="D102" s="13" t="inlineStr">
        <is>
          <t>ARREAS</t>
        </is>
      </c>
      <c r="E102" s="105" t="n">
        <v>2026</v>
      </c>
      <c r="F102" s="106" t="n"/>
      <c r="G102" s="106" t="n"/>
      <c r="H102" s="13" t="inlineStr">
        <is>
          <t>JAN</t>
        </is>
      </c>
      <c r="I102" s="13" t="inlineStr">
        <is>
          <t>FEB</t>
        </is>
      </c>
      <c r="J102" s="13" t="inlineStr">
        <is>
          <t>MAR</t>
        </is>
      </c>
      <c r="K102" s="13" t="inlineStr">
        <is>
          <t>APR</t>
        </is>
      </c>
      <c r="L102" s="13" t="inlineStr">
        <is>
          <t>MAY</t>
        </is>
      </c>
      <c r="M102" s="13" t="inlineStr">
        <is>
          <t>JUN</t>
        </is>
      </c>
      <c r="N102" s="13" t="inlineStr">
        <is>
          <t>JUL</t>
        </is>
      </c>
      <c r="O102" s="13" t="inlineStr">
        <is>
          <t>AUG</t>
        </is>
      </c>
      <c r="P102" s="13" t="inlineStr">
        <is>
          <t>SEP</t>
        </is>
      </c>
      <c r="Q102" s="13" t="inlineStr">
        <is>
          <t>OCT</t>
        </is>
      </c>
      <c r="R102" s="13" t="inlineStr">
        <is>
          <t>NOV</t>
        </is>
      </c>
      <c r="S102" s="13" t="inlineStr">
        <is>
          <t>PRE PAID</t>
        </is>
      </c>
      <c r="T102" s="13" t="inlineStr">
        <is>
          <t>BALANCE</t>
        </is>
      </c>
    </row>
    <row r="103">
      <c r="A103" s="15" t="n"/>
      <c r="B103" s="44" t="n"/>
      <c r="C103" s="44" t="n"/>
      <c r="D103" s="16">
        <f>D76</f>
        <v/>
      </c>
      <c r="E103" s="98">
        <f>E76</f>
        <v/>
      </c>
      <c r="F103" s="99" t="n"/>
      <c r="G103" s="97" t="n"/>
      <c r="H103" s="17">
        <f>H76</f>
        <v/>
      </c>
      <c r="I103" s="17">
        <f>I76</f>
        <v/>
      </c>
      <c r="J103" s="17">
        <f>J76</f>
        <v/>
      </c>
      <c r="K103" s="17">
        <f>K76</f>
        <v/>
      </c>
      <c r="L103" s="17">
        <f>L76</f>
        <v/>
      </c>
      <c r="M103" s="17">
        <f>M76</f>
        <v/>
      </c>
      <c r="N103" s="17">
        <f>N76</f>
        <v/>
      </c>
      <c r="O103" s="17">
        <f>O76</f>
        <v/>
      </c>
      <c r="P103" s="17">
        <f>P76</f>
        <v/>
      </c>
      <c r="Q103" s="17">
        <f>Q76</f>
        <v/>
      </c>
      <c r="R103" s="17">
        <f>R76</f>
        <v/>
      </c>
      <c r="S103" s="17">
        <f>S76</f>
        <v/>
      </c>
      <c r="T103" s="1">
        <f>T76</f>
        <v/>
      </c>
    </row>
    <row r="104">
      <c r="A104" s="15" t="n"/>
      <c r="B104" s="92" t="n">
        <v>1652</v>
      </c>
      <c r="C104" s="92" t="inlineStr">
        <is>
          <t>BONVENTURE ODHIAMBO</t>
        </is>
      </c>
      <c r="D104" s="16">
        <f>'FORM 2 2025'!T104</f>
        <v/>
      </c>
      <c r="E104" s="98" t="n">
        <v>2200</v>
      </c>
      <c r="F104" s="99" t="n"/>
      <c r="G104" s="97" t="n"/>
      <c r="H104" s="17" t="n">
        <v>0</v>
      </c>
      <c r="I104" s="17" t="n">
        <v>0</v>
      </c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">
        <f>D104+SUM(E104:G104)-SUM(H104:S104)</f>
        <v/>
      </c>
    </row>
    <row r="105">
      <c r="A105" s="15" t="inlineStr">
        <is>
          <t>1</t>
        </is>
      </c>
      <c r="B105" s="44" t="n">
        <v>1708</v>
      </c>
      <c r="C105" s="44" t="inlineStr">
        <is>
          <t>JAMES OMONDI</t>
        </is>
      </c>
      <c r="D105" s="16">
        <f>'FORM 2 2025'!T105</f>
        <v/>
      </c>
      <c r="E105" s="98" t="n">
        <v>2200</v>
      </c>
      <c r="F105" s="99" t="n"/>
      <c r="G105" s="97" t="n"/>
      <c r="H105" s="17" t="n">
        <v>0</v>
      </c>
      <c r="I105" s="17" t="n">
        <v>0</v>
      </c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">
        <f>D105+SUM(E105:G105)-SUM(H105:S105)</f>
        <v/>
      </c>
    </row>
    <row r="106">
      <c r="A106" s="15" t="inlineStr">
        <is>
          <t>2</t>
        </is>
      </c>
      <c r="B106" s="92" t="inlineStr">
        <is>
          <t>1709</t>
        </is>
      </c>
      <c r="C106" s="92" t="inlineStr">
        <is>
          <t>VINNIE NGACHARA</t>
        </is>
      </c>
      <c r="D106" s="16">
        <f>'FORM 2 2025'!T106</f>
        <v/>
      </c>
      <c r="E106" s="98" t="n">
        <v>2200</v>
      </c>
      <c r="F106" s="99" t="n"/>
      <c r="G106" s="97" t="n"/>
      <c r="H106" s="17" t="n"/>
      <c r="I106" s="17" t="n"/>
      <c r="J106" s="17" t="n"/>
      <c r="K106" s="17" t="n"/>
      <c r="L106" s="17" t="n"/>
      <c r="M106" s="17" t="n"/>
      <c r="N106" s="17" t="n">
        <v>1100</v>
      </c>
      <c r="O106" s="17" t="n"/>
      <c r="P106" s="17" t="n"/>
      <c r="Q106" s="17" t="n"/>
      <c r="R106" s="17" t="n"/>
      <c r="S106" s="17" t="n"/>
      <c r="T106" s="1" t="n"/>
    </row>
    <row r="107">
      <c r="A107" s="15" t="inlineStr">
        <is>
          <t>3</t>
        </is>
      </c>
      <c r="B107" s="92" t="n">
        <v>1711</v>
      </c>
      <c r="C107" s="92" t="inlineStr">
        <is>
          <t>RAJAB OMONDI</t>
        </is>
      </c>
      <c r="D107" s="16">
        <f>'FORM 2 2025'!T107</f>
        <v/>
      </c>
      <c r="E107" s="96" t="n">
        <v>2200</v>
      </c>
      <c r="F107" s="97" t="n"/>
      <c r="G107" s="110" t="n"/>
      <c r="H107" s="17" t="n">
        <v>0</v>
      </c>
      <c r="I107" s="17" t="n">
        <v>0</v>
      </c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">
        <f>D107+SUM(E107:G107)-SUM(H107:S107)</f>
        <v/>
      </c>
    </row>
    <row r="108">
      <c r="A108" s="15" t="inlineStr">
        <is>
          <t>140</t>
        </is>
      </c>
      <c r="B108" s="92" t="inlineStr">
        <is>
          <t>1714</t>
        </is>
      </c>
      <c r="C108" s="92" t="inlineStr">
        <is>
          <t>JOANES OUKO</t>
        </is>
      </c>
      <c r="D108" s="16">
        <f>'FORM 2 2025'!T108</f>
        <v/>
      </c>
      <c r="E108" s="96" t="n">
        <v>2200</v>
      </c>
      <c r="F108" s="97" t="n"/>
      <c r="G108" s="110" t="n"/>
      <c r="H108" s="17" t="n"/>
      <c r="I108" s="17" t="n"/>
      <c r="J108" s="42" t="n"/>
      <c r="K108" s="42" t="n"/>
      <c r="L108" s="42" t="n"/>
      <c r="M108" s="42" t="n">
        <v>200</v>
      </c>
      <c r="N108" s="42" t="n"/>
      <c r="O108" s="42" t="n"/>
      <c r="P108" s="42" t="n"/>
      <c r="Q108" s="42" t="n"/>
      <c r="R108" s="42" t="n"/>
      <c r="S108" s="42" t="n"/>
      <c r="T108" s="43">
        <f>D108+SUM(E108:G108)-SUM(H108:S108)</f>
        <v/>
      </c>
    </row>
    <row r="109">
      <c r="A109" s="15" t="inlineStr">
        <is>
          <t>5</t>
        </is>
      </c>
      <c r="B109" s="92" t="inlineStr">
        <is>
          <t>1715</t>
        </is>
      </c>
      <c r="C109" s="92" t="inlineStr">
        <is>
          <t>MICHAEL OCHIENG</t>
        </is>
      </c>
      <c r="D109" s="16">
        <f>'FORM 2 2025'!T109</f>
        <v/>
      </c>
      <c r="E109" s="96" t="n">
        <v>2200</v>
      </c>
      <c r="F109" s="97" t="n"/>
      <c r="G109" s="110" t="n"/>
      <c r="H109" s="17" t="n"/>
      <c r="I109" s="17" t="n"/>
      <c r="J109" s="42" t="n"/>
      <c r="K109" s="42" t="n"/>
      <c r="L109" s="42" t="n"/>
      <c r="M109" s="42" t="n"/>
      <c r="N109" s="42" t="n">
        <v>200</v>
      </c>
      <c r="O109" s="42" t="n"/>
      <c r="P109" s="42" t="n"/>
      <c r="Q109" s="42" t="n"/>
      <c r="R109" s="42" t="n"/>
      <c r="S109" s="42" t="n"/>
      <c r="T109" s="43">
        <f>D109+SUM(E109:G109)-SUM(H109:S109)</f>
        <v/>
      </c>
    </row>
    <row r="110">
      <c r="A110" s="15" t="inlineStr">
        <is>
          <t>6</t>
        </is>
      </c>
      <c r="B110" s="92" t="n">
        <v>1718</v>
      </c>
      <c r="C110" s="54" t="inlineStr">
        <is>
          <t>HILARY OTIENO</t>
        </is>
      </c>
      <c r="D110" s="16">
        <f>'FORM 2 2025'!T110</f>
        <v/>
      </c>
      <c r="E110" s="80" t="n">
        <v>2200</v>
      </c>
      <c r="F110" s="81" t="n"/>
      <c r="G110" s="110" t="n"/>
      <c r="H110" s="17" t="n">
        <v>0</v>
      </c>
      <c r="I110" s="17" t="n">
        <v>0</v>
      </c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3">
        <f>D110+SUM(E110:G110)-SUM(H110:S110)</f>
        <v/>
      </c>
    </row>
    <row r="111">
      <c r="A111" s="15" t="inlineStr">
        <is>
          <t>7</t>
        </is>
      </c>
      <c r="B111" s="92" t="inlineStr">
        <is>
          <t>1719</t>
        </is>
      </c>
      <c r="C111" s="92" t="inlineStr">
        <is>
          <t>TONY OTIENO</t>
        </is>
      </c>
      <c r="D111" s="16">
        <f>'FORM 2 2025'!T111</f>
        <v/>
      </c>
      <c r="E111" s="80" t="n">
        <v>4400</v>
      </c>
      <c r="F111" s="81" t="n"/>
      <c r="G111" s="110" t="n"/>
      <c r="H111" s="17" t="n"/>
      <c r="I111" s="17" t="n"/>
      <c r="J111" s="42" t="n"/>
      <c r="K111" s="42" t="n"/>
      <c r="L111" s="42" t="n"/>
      <c r="M111" s="42" t="n"/>
      <c r="N111" s="42" t="n">
        <v>750</v>
      </c>
      <c r="O111" s="42" t="n"/>
      <c r="P111" s="42" t="n"/>
      <c r="Q111" s="42" t="n"/>
      <c r="R111" s="42" t="n"/>
      <c r="S111" s="42" t="n"/>
      <c r="T111" s="43">
        <f>D111+SUM(E111:G111)-SUM(H111:S111)</f>
        <v/>
      </c>
    </row>
    <row r="112">
      <c r="A112" s="15" t="inlineStr">
        <is>
          <t>8</t>
        </is>
      </c>
      <c r="B112" s="92" t="n">
        <v>1721</v>
      </c>
      <c r="C112" s="92" t="inlineStr">
        <is>
          <t>FIDEL CLINTON</t>
        </is>
      </c>
      <c r="D112" s="16">
        <f>'FORM 2 2025'!T112</f>
        <v/>
      </c>
      <c r="E112" s="82" t="n">
        <v>2200</v>
      </c>
      <c r="F112" s="83" t="n"/>
      <c r="G112" s="84" t="n"/>
      <c r="H112" s="17" t="n">
        <v>0</v>
      </c>
      <c r="I112" s="17" t="n">
        <v>0</v>
      </c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3">
        <f>D112+SUM(E112:G112)-SUM(H112:S112)</f>
        <v/>
      </c>
    </row>
    <row r="113">
      <c r="A113" s="15" t="inlineStr">
        <is>
          <t>9</t>
        </is>
      </c>
      <c r="B113" s="92" t="inlineStr">
        <is>
          <t>1724</t>
        </is>
      </c>
      <c r="C113" s="45" t="inlineStr">
        <is>
          <t>DANIEL OMINDE</t>
        </is>
      </c>
      <c r="D113" s="16">
        <f>'FORM 2 2025'!T113</f>
        <v/>
      </c>
      <c r="E113" s="96" t="n">
        <v>2200</v>
      </c>
      <c r="F113" s="97" t="n"/>
      <c r="G113" s="110" t="n"/>
      <c r="H113" s="17" t="n">
        <v>650</v>
      </c>
      <c r="I113" s="91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3">
        <f>D113+SUM(E113:G113)-SUM(H113:S113)</f>
        <v/>
      </c>
    </row>
    <row r="114">
      <c r="A114" s="15" t="inlineStr">
        <is>
          <t>10</t>
        </is>
      </c>
      <c r="B114" s="92" t="n">
        <v>1725</v>
      </c>
      <c r="C114" s="92" t="inlineStr">
        <is>
          <t>MICHAEL SULE</t>
        </is>
      </c>
      <c r="D114" s="16">
        <f>'FORM 2 2025'!T114</f>
        <v/>
      </c>
      <c r="E114" s="96" t="n">
        <v>2200</v>
      </c>
      <c r="F114" s="97" t="n"/>
      <c r="G114" s="110" t="n"/>
      <c r="H114" s="17" t="n">
        <v>0</v>
      </c>
      <c r="I114" s="17" t="n">
        <v>0</v>
      </c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3">
        <f>D114+SUM(E114:G114)-SUM(H114:S114)</f>
        <v/>
      </c>
    </row>
    <row r="115">
      <c r="A115" s="15" t="inlineStr">
        <is>
          <t>11</t>
        </is>
      </c>
      <c r="B115" s="92" t="inlineStr">
        <is>
          <t>1726</t>
        </is>
      </c>
      <c r="C115" s="92" t="inlineStr">
        <is>
          <t>MACLAREN KYALO</t>
        </is>
      </c>
      <c r="D115" s="16">
        <f>'FORM 2 2025'!T115</f>
        <v/>
      </c>
      <c r="E115" s="96" t="n">
        <v>2200</v>
      </c>
      <c r="F115" s="97" t="n"/>
      <c r="G115" s="110" t="n"/>
      <c r="H115" s="17" t="n"/>
      <c r="I115" s="17" t="n"/>
      <c r="J115" s="42" t="n"/>
      <c r="K115" s="42" t="n"/>
      <c r="L115" s="42" t="n"/>
      <c r="M115" s="42" t="n">
        <v>500</v>
      </c>
      <c r="N115" s="42" t="n"/>
      <c r="O115" s="42" t="n"/>
      <c r="P115" s="42" t="n"/>
      <c r="Q115" s="42" t="n"/>
      <c r="R115" s="42" t="n"/>
      <c r="S115" s="42" t="n"/>
      <c r="T115" s="43">
        <f>D115+SUM(E115:G115)-SUM(H115:S115)</f>
        <v/>
      </c>
    </row>
    <row r="116">
      <c r="A116" s="15" t="inlineStr">
        <is>
          <t>12</t>
        </is>
      </c>
      <c r="B116" s="92" t="inlineStr">
        <is>
          <t>1728</t>
        </is>
      </c>
      <c r="C116" s="92" t="inlineStr">
        <is>
          <t>PATRICK OCHIENG</t>
        </is>
      </c>
      <c r="D116" s="16">
        <f>'FORM 2 2025'!T116</f>
        <v/>
      </c>
      <c r="E116" s="96" t="n">
        <v>2200</v>
      </c>
      <c r="F116" s="97" t="n"/>
      <c r="G116" s="110" t="n"/>
      <c r="H116" s="17" t="n"/>
      <c r="I116" s="91" t="n"/>
      <c r="J116" s="42" t="n"/>
      <c r="K116" s="42" t="n"/>
      <c r="L116" s="42" t="n"/>
      <c r="M116" s="42" t="n"/>
      <c r="N116" s="42" t="n"/>
      <c r="O116" s="42" t="n"/>
      <c r="P116" s="42" t="n">
        <v>700</v>
      </c>
      <c r="Q116" s="42" t="n"/>
      <c r="R116" s="42" t="n"/>
      <c r="S116" s="42" t="n"/>
      <c r="T116" s="43">
        <f>D116+SUM(E112:G116)-SUM(H116:S116)</f>
        <v/>
      </c>
    </row>
    <row r="117">
      <c r="A117" s="15" t="inlineStr">
        <is>
          <t>14</t>
        </is>
      </c>
      <c r="B117" s="92" t="n">
        <v>1730</v>
      </c>
      <c r="C117" s="92" t="inlineStr">
        <is>
          <t>EMMANUEL ODHIAMBO</t>
        </is>
      </c>
      <c r="D117" s="16">
        <f>'FORM 2 2025'!T117</f>
        <v/>
      </c>
      <c r="E117" s="98" t="n">
        <v>2200</v>
      </c>
      <c r="F117" s="99" t="n"/>
      <c r="G117" s="97" t="n"/>
      <c r="H117" s="17" t="n">
        <v>0</v>
      </c>
      <c r="I117" s="17" t="n">
        <v>0</v>
      </c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">
        <f>D117+SUM(E117:G117)-SUM(H117:S117)</f>
        <v/>
      </c>
    </row>
    <row r="118">
      <c r="A118" s="15" t="inlineStr">
        <is>
          <t>15</t>
        </is>
      </c>
      <c r="B118" s="92" t="inlineStr">
        <is>
          <t>1731</t>
        </is>
      </c>
      <c r="C118" s="92" t="inlineStr">
        <is>
          <t>EMMANUEL OCHIENG</t>
        </is>
      </c>
      <c r="D118" s="16">
        <f>'FORM 2 2025'!T118</f>
        <v/>
      </c>
      <c r="E118" s="98" t="n">
        <v>2200</v>
      </c>
      <c r="F118" s="99" t="n"/>
      <c r="G118" s="9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>
        <v>100</v>
      </c>
      <c r="Q118" s="17" t="n"/>
      <c r="R118" s="17" t="n"/>
      <c r="S118" s="17" t="n"/>
      <c r="T118" s="1">
        <f>D118+SUM(E118:G118)-SUM(H118:S118)</f>
        <v/>
      </c>
    </row>
    <row r="119">
      <c r="A119" s="15" t="inlineStr">
        <is>
          <t>16</t>
        </is>
      </c>
      <c r="B119" s="92" t="inlineStr">
        <is>
          <t>1732</t>
        </is>
      </c>
      <c r="C119" s="92" t="inlineStr">
        <is>
          <t>MOURICE OUMA</t>
        </is>
      </c>
      <c r="D119" s="16">
        <f>'FORM 2 2025'!T119</f>
        <v/>
      </c>
      <c r="E119" s="96" t="n">
        <v>2200</v>
      </c>
      <c r="F119" s="97" t="n"/>
      <c r="G119" s="110" t="n"/>
      <c r="H119" s="17" t="n">
        <v>100</v>
      </c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0">
        <f>D119+SUM(E119:G119)-SUM(H119:S119)</f>
        <v/>
      </c>
    </row>
    <row r="120">
      <c r="A120" s="15" t="inlineStr">
        <is>
          <t>17</t>
        </is>
      </c>
      <c r="B120" s="92" t="inlineStr">
        <is>
          <t>1733</t>
        </is>
      </c>
      <c r="C120" s="92" t="inlineStr">
        <is>
          <t>BILL CLINTON</t>
        </is>
      </c>
      <c r="D120" s="16">
        <f>'FORM 2 2025'!T120</f>
        <v/>
      </c>
      <c r="E120" s="96" t="n">
        <v>2200</v>
      </c>
      <c r="F120" s="97" t="n"/>
      <c r="G120" s="110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>
        <v>450</v>
      </c>
      <c r="Q120" s="17" t="n"/>
      <c r="R120" s="17" t="n"/>
      <c r="S120" s="17" t="n"/>
      <c r="T120" s="35">
        <f>D120+SUM(E120:G120)-SUM(H120:S120)</f>
        <v/>
      </c>
    </row>
    <row r="121" ht="15.75" customHeight="1" s="101">
      <c r="A121" s="15" t="inlineStr">
        <is>
          <t>18</t>
        </is>
      </c>
      <c r="B121" s="44" t="inlineStr">
        <is>
          <t>1734</t>
        </is>
      </c>
      <c r="C121" s="44" t="inlineStr">
        <is>
          <t>EVANCE ODHIAMBO</t>
        </is>
      </c>
      <c r="D121" s="16">
        <f>'FORM 2 2025'!T121</f>
        <v/>
      </c>
      <c r="E121" s="96" t="n">
        <v>2200</v>
      </c>
      <c r="F121" s="97" t="n"/>
      <c r="G121" s="110" t="n"/>
      <c r="H121" s="17" t="n"/>
      <c r="I121" s="91" t="n"/>
      <c r="J121" s="17" t="n"/>
      <c r="K121" s="17" t="n"/>
      <c r="L121" s="17" t="n"/>
      <c r="M121" s="17" t="n"/>
      <c r="N121" s="17" t="n"/>
      <c r="O121" s="17" t="n"/>
      <c r="P121" s="17" t="n">
        <v>950</v>
      </c>
      <c r="Q121" s="17" t="n"/>
      <c r="R121" s="17" t="n"/>
      <c r="S121" s="17" t="n"/>
      <c r="T121" s="1">
        <f>D121+SUM(E121:G121)-SUM(H121:S121)</f>
        <v/>
      </c>
    </row>
    <row r="122">
      <c r="A122" s="15" t="inlineStr">
        <is>
          <t>19</t>
        </is>
      </c>
      <c r="B122" s="92" t="inlineStr">
        <is>
          <t>1735</t>
        </is>
      </c>
      <c r="C122" s="92" t="inlineStr">
        <is>
          <t>BROLING OBONG'O</t>
        </is>
      </c>
      <c r="D122" s="16">
        <f>'FORM 2 2025'!T122</f>
        <v/>
      </c>
      <c r="E122" s="96" t="n">
        <v>2200</v>
      </c>
      <c r="F122" s="97" t="n"/>
      <c r="G122" s="110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>
        <v>1500</v>
      </c>
      <c r="Q122" s="17" t="n"/>
      <c r="R122" s="17" t="n"/>
      <c r="S122" s="17" t="n"/>
      <c r="T122" s="1">
        <f>D122+SUM(E122:G122)-SUM(H122:S122)</f>
        <v/>
      </c>
    </row>
    <row r="123">
      <c r="A123" s="15" t="inlineStr">
        <is>
          <t>20</t>
        </is>
      </c>
      <c r="B123" s="92" t="n">
        <v>1736</v>
      </c>
      <c r="C123" s="92" t="inlineStr">
        <is>
          <t>HENRY OKETCH</t>
        </is>
      </c>
      <c r="D123" s="16">
        <f>'FORM 2 2025'!T123</f>
        <v/>
      </c>
      <c r="E123" s="96" t="n">
        <v>2200</v>
      </c>
      <c r="F123" s="97" t="n"/>
      <c r="G123" s="110" t="n"/>
      <c r="H123" s="17" t="n">
        <v>0</v>
      </c>
      <c r="I123" s="17" t="n">
        <v>0</v>
      </c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">
        <f>D123+SUM(E123:G123)-SUM(H123:S123)</f>
        <v/>
      </c>
    </row>
    <row r="124">
      <c r="A124" s="15" t="inlineStr">
        <is>
          <t>21</t>
        </is>
      </c>
      <c r="B124" s="92" t="inlineStr">
        <is>
          <t>1738</t>
        </is>
      </c>
      <c r="C124" s="92" t="inlineStr">
        <is>
          <t>RENSON ODHIAMBO</t>
        </is>
      </c>
      <c r="D124" s="16">
        <f>'FORM 2 2025'!T124</f>
        <v/>
      </c>
      <c r="E124" s="96" t="n">
        <v>2200</v>
      </c>
      <c r="F124" s="97" t="n"/>
      <c r="G124" s="110" t="n"/>
      <c r="H124" s="17" t="n"/>
      <c r="I124" s="17" t="n"/>
      <c r="J124" s="20" t="n"/>
      <c r="K124" s="20" t="n"/>
      <c r="L124" s="20" t="n"/>
      <c r="M124" s="20" t="n"/>
      <c r="N124" s="20" t="n"/>
      <c r="O124" s="20" t="n"/>
      <c r="P124" s="20" t="n">
        <v>200</v>
      </c>
      <c r="Q124" s="20" t="n"/>
      <c r="R124" s="20" t="n"/>
      <c r="S124" s="20" t="n"/>
      <c r="T124" s="1">
        <f>D124+SUM(E124:G124)-SUM(H124:S124)</f>
        <v/>
      </c>
    </row>
    <row r="125" ht="15.75" customHeight="1" s="101">
      <c r="A125" s="15" t="inlineStr">
        <is>
          <t>22</t>
        </is>
      </c>
      <c r="B125" s="92" t="n">
        <v>1739</v>
      </c>
      <c r="C125" s="92" t="inlineStr">
        <is>
          <t>DANCAN OWINO</t>
        </is>
      </c>
      <c r="D125" s="16">
        <f>'FORM 2 2025'!T125</f>
        <v/>
      </c>
      <c r="E125" s="96" t="n">
        <v>2200</v>
      </c>
      <c r="F125" s="97" t="n"/>
      <c r="G125" s="110" t="n"/>
      <c r="H125" s="17" t="n">
        <v>0</v>
      </c>
      <c r="I125" s="17" t="n">
        <v>0</v>
      </c>
      <c r="J125" s="17" t="n"/>
      <c r="K125" s="17" t="n"/>
      <c r="L125" s="17" t="n">
        <v>100</v>
      </c>
      <c r="M125" s="17" t="n"/>
      <c r="N125" s="17" t="n"/>
      <c r="O125" s="17" t="n"/>
      <c r="P125" s="17" t="n"/>
      <c r="Q125" s="17" t="n"/>
      <c r="R125" s="17" t="n"/>
      <c r="S125" s="17" t="n"/>
      <c r="T125" s="1">
        <f>D125+SUM(E125:G125)-SUM(H125:S125)</f>
        <v/>
      </c>
    </row>
    <row r="126">
      <c r="A126" s="15" t="inlineStr">
        <is>
          <t>23</t>
        </is>
      </c>
      <c r="B126" s="92" t="n">
        <v>1741</v>
      </c>
      <c r="C126" s="92" t="inlineStr">
        <is>
          <t>ABRAHAM  OTIENO</t>
        </is>
      </c>
      <c r="D126" s="16">
        <f>'FORM 2 2025'!T126</f>
        <v/>
      </c>
      <c r="E126" s="96" t="n">
        <v>2200</v>
      </c>
      <c r="F126" s="97" t="n"/>
      <c r="G126" s="110" t="n"/>
      <c r="H126" s="17" t="n">
        <v>0</v>
      </c>
      <c r="I126" s="17" t="n">
        <v>0</v>
      </c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">
        <f>D126+SUM(E126:G126)-SUM(H126:S126)</f>
        <v/>
      </c>
    </row>
    <row r="127">
      <c r="A127" s="15" t="inlineStr">
        <is>
          <t>24</t>
        </is>
      </c>
      <c r="B127" s="92" t="inlineStr">
        <is>
          <t>1742</t>
        </is>
      </c>
      <c r="C127" s="92" t="inlineStr">
        <is>
          <t>ALPHONCES OCHIENG</t>
        </is>
      </c>
      <c r="D127" s="16">
        <f>'FORM 2 2025'!T127</f>
        <v/>
      </c>
      <c r="E127" s="98" t="n">
        <v>2200</v>
      </c>
      <c r="F127" s="99" t="n"/>
      <c r="G127" s="9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>
        <v>600</v>
      </c>
      <c r="Q127" s="17" t="n"/>
      <c r="R127" s="17" t="n"/>
      <c r="S127" s="17" t="n"/>
      <c r="T127" s="1">
        <f>D127+SUM(E127:G127)-SUM(H127:S127)</f>
        <v/>
      </c>
    </row>
    <row r="128">
      <c r="A128" s="15" t="inlineStr">
        <is>
          <t>25</t>
        </is>
      </c>
      <c r="B128" s="92" t="n">
        <v>1744</v>
      </c>
      <c r="C128" s="54" t="inlineStr">
        <is>
          <t>JAMES ODONGO</t>
        </is>
      </c>
      <c r="D128" s="16">
        <f>'FORM 2 2025'!T128</f>
        <v/>
      </c>
      <c r="E128" s="96" t="n">
        <v>2200</v>
      </c>
      <c r="F128" s="97" t="n"/>
      <c r="G128" s="110" t="n"/>
      <c r="H128" s="17" t="n">
        <v>0</v>
      </c>
      <c r="I128" s="17" t="n">
        <v>0</v>
      </c>
      <c r="J128" s="17" t="n"/>
      <c r="K128" s="17" t="n"/>
      <c r="L128" s="37" t="n"/>
      <c r="M128" s="17" t="n"/>
      <c r="N128" s="17" t="n"/>
      <c r="O128" s="17" t="n"/>
      <c r="P128" s="17" t="n"/>
      <c r="Q128" s="17" t="n"/>
      <c r="R128" s="17" t="n"/>
      <c r="S128" s="17" t="n"/>
      <c r="T128" s="1">
        <f>D128+SUM(E128:G128)-SUM(H128:S128)</f>
        <v/>
      </c>
    </row>
    <row r="129">
      <c r="A129" s="15" t="inlineStr">
        <is>
          <t>26</t>
        </is>
      </c>
      <c r="B129" s="92" t="inlineStr">
        <is>
          <t>1745</t>
        </is>
      </c>
      <c r="C129" s="92" t="inlineStr">
        <is>
          <t>JOSEPH JUMA</t>
        </is>
      </c>
      <c r="D129" s="16">
        <f>'FORM 2 2025'!T129</f>
        <v/>
      </c>
      <c r="E129" s="96" t="n">
        <v>2200</v>
      </c>
      <c r="F129" s="97" t="n"/>
      <c r="G129" s="3" t="n"/>
      <c r="H129" s="17" t="n">
        <v>100</v>
      </c>
      <c r="I129" s="17" t="n">
        <v>200</v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11">
        <f>D129+SUM(E129:G129)-SUM(H129:S129)</f>
        <v/>
      </c>
    </row>
    <row r="130">
      <c r="A130" s="15" t="inlineStr">
        <is>
          <t>27</t>
        </is>
      </c>
      <c r="B130" s="92" t="n">
        <v>1746</v>
      </c>
      <c r="C130" s="92" t="inlineStr">
        <is>
          <t>BYRON OCHIENG</t>
        </is>
      </c>
      <c r="D130" s="16">
        <f>'FORM 2 2025'!T130</f>
        <v/>
      </c>
      <c r="E130" s="96" t="n">
        <v>2200</v>
      </c>
      <c r="F130" s="97" t="n"/>
      <c r="G130" s="3" t="n"/>
      <c r="H130" s="17" t="n">
        <v>0</v>
      </c>
      <c r="I130" s="17" t="n">
        <v>0</v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11">
        <f>D130+SUM(E130:G130)-SUM(H130:S130)</f>
        <v/>
      </c>
    </row>
    <row r="131">
      <c r="A131" s="15" t="inlineStr">
        <is>
          <t>28</t>
        </is>
      </c>
      <c r="B131" s="92" t="inlineStr">
        <is>
          <t>1749</t>
        </is>
      </c>
      <c r="C131" s="92" t="inlineStr">
        <is>
          <t>REGAN OTIENO</t>
        </is>
      </c>
      <c r="D131" s="2">
        <f>'FORM 2 2025'!T131</f>
        <v/>
      </c>
      <c r="E131" s="96" t="n">
        <v>2200</v>
      </c>
      <c r="F131" s="97" t="n"/>
      <c r="G131" s="3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>
        <v>1400</v>
      </c>
      <c r="Q131" s="17" t="n"/>
      <c r="R131" s="17" t="n"/>
      <c r="S131" s="17" t="n"/>
      <c r="T131" s="1">
        <f>D131+SUM(E131:G131)-SUM(H131:S131)</f>
        <v/>
      </c>
    </row>
    <row r="132" ht="15.75" customHeight="1" s="101" thickBot="1">
      <c r="A132" s="15" t="n"/>
      <c r="B132" s="5" t="n"/>
      <c r="C132" s="6" t="inlineStr">
        <is>
          <t>TOTAL</t>
        </is>
      </c>
      <c r="D132" s="7">
        <f>SUM(D103:D131)</f>
        <v/>
      </c>
      <c r="E132" s="8">
        <f>SUM(E103:E131)</f>
        <v/>
      </c>
      <c r="F132" s="8">
        <f>SUM(F103:F124)</f>
        <v/>
      </c>
      <c r="G132" s="8">
        <f>SUM(G103:G124)</f>
        <v/>
      </c>
      <c r="H132" s="8">
        <f>SUM(H103:H131)</f>
        <v/>
      </c>
      <c r="I132" s="8">
        <f>SUM(I103:I131)</f>
        <v/>
      </c>
      <c r="J132" s="8">
        <f>SUM(J103:J131)</f>
        <v/>
      </c>
      <c r="K132" s="8">
        <f>SUM(K103:K131)</f>
        <v/>
      </c>
      <c r="L132" s="8">
        <f>SUM(L103:L131)</f>
        <v/>
      </c>
      <c r="M132" s="8">
        <f>SUM(M103:M131)</f>
        <v/>
      </c>
      <c r="N132" s="8">
        <f>SUM(N103:N131)</f>
        <v/>
      </c>
      <c r="O132" s="8">
        <f>SUM(O103:O131)</f>
        <v/>
      </c>
      <c r="P132" s="8">
        <f>SUM(P103:P131)</f>
        <v/>
      </c>
      <c r="Q132" s="8">
        <f>SUM(Q103:Q131)</f>
        <v/>
      </c>
      <c r="R132" s="8">
        <f>SUM(R103:R131)</f>
        <v/>
      </c>
      <c r="S132" s="8">
        <f>SUM(S103:S131)</f>
        <v/>
      </c>
      <c r="T132" s="9">
        <f>SUM(T103:T131)</f>
        <v/>
      </c>
    </row>
    <row r="133" ht="18" customHeight="1" s="101">
      <c r="A133" s="100" t="inlineStr">
        <is>
          <t>KIREMBE SECONDARY SCHOOL.</t>
        </is>
      </c>
    </row>
    <row r="134">
      <c r="A134" s="109" t="inlineStr">
        <is>
          <t>FEE REGISTER(LUNCH)  FORM 3 C</t>
        </is>
      </c>
      <c r="E134" s="14" t="n"/>
      <c r="H134" s="14" t="inlineStr">
        <is>
          <t>1ST TERM</t>
        </is>
      </c>
      <c r="M134" s="14" t="inlineStr">
        <is>
          <t>2ND TERM</t>
        </is>
      </c>
      <c r="N134" s="14" t="n"/>
      <c r="P134" s="14" t="inlineStr">
        <is>
          <t>3RD TERM</t>
        </is>
      </c>
    </row>
    <row r="135">
      <c r="A135" s="36" t="inlineStr">
        <is>
          <t>NO.</t>
        </is>
      </c>
      <c r="B135" s="85" t="inlineStr">
        <is>
          <t>ADM</t>
        </is>
      </c>
      <c r="C135" t="inlineStr">
        <is>
          <t>NAME</t>
        </is>
      </c>
      <c r="E135" s="103" t="inlineStr">
        <is>
          <t>DEBT</t>
        </is>
      </c>
      <c r="H135" s="104" t="inlineStr">
        <is>
          <t>REPAYMENT</t>
        </is>
      </c>
    </row>
    <row r="136">
      <c r="A136" s="12" t="n"/>
      <c r="B136" s="12" t="n"/>
      <c r="C136" s="13" t="n"/>
      <c r="D136" s="13" t="inlineStr">
        <is>
          <t>ARREAS</t>
        </is>
      </c>
      <c r="E136" s="105" t="n">
        <v>2026</v>
      </c>
      <c r="F136" s="106" t="n"/>
      <c r="G136" s="106" t="n"/>
      <c r="H136" s="13" t="inlineStr">
        <is>
          <t>JAN</t>
        </is>
      </c>
      <c r="I136" s="13" t="inlineStr">
        <is>
          <t>FEB</t>
        </is>
      </c>
      <c r="J136" s="13" t="inlineStr">
        <is>
          <t>MAR</t>
        </is>
      </c>
      <c r="K136" s="13" t="inlineStr">
        <is>
          <t>APR</t>
        </is>
      </c>
      <c r="L136" s="13" t="inlineStr">
        <is>
          <t>MAY</t>
        </is>
      </c>
      <c r="M136" s="13" t="inlineStr">
        <is>
          <t>JUN</t>
        </is>
      </c>
      <c r="N136" s="13" t="inlineStr">
        <is>
          <t>JUL</t>
        </is>
      </c>
      <c r="O136" s="13" t="inlineStr">
        <is>
          <t>AUG</t>
        </is>
      </c>
      <c r="P136" s="13" t="inlineStr">
        <is>
          <t>SEP</t>
        </is>
      </c>
      <c r="Q136" s="13" t="inlineStr">
        <is>
          <t>OCT</t>
        </is>
      </c>
      <c r="R136" s="13" t="inlineStr">
        <is>
          <t>NOV</t>
        </is>
      </c>
      <c r="S136" s="13" t="inlineStr">
        <is>
          <t>PRE PAID</t>
        </is>
      </c>
      <c r="T136" s="13" t="inlineStr">
        <is>
          <t>BALANCE</t>
        </is>
      </c>
    </row>
    <row r="137">
      <c r="A137" s="15" t="n"/>
      <c r="B137" s="92" t="n"/>
      <c r="C137" s="24" t="n"/>
      <c r="D137" s="28">
        <f>D132</f>
        <v/>
      </c>
      <c r="E137" s="102">
        <f>E132</f>
        <v/>
      </c>
      <c r="F137" s="99" t="n"/>
      <c r="G137" s="97" t="n"/>
      <c r="H137" s="26">
        <f>H132</f>
        <v/>
      </c>
      <c r="I137" s="26">
        <f>I132</f>
        <v/>
      </c>
      <c r="J137" s="26">
        <f>J132</f>
        <v/>
      </c>
      <c r="K137" s="26">
        <f>K132</f>
        <v/>
      </c>
      <c r="L137" s="26">
        <f>L132</f>
        <v/>
      </c>
      <c r="M137" s="26">
        <f>M132</f>
        <v/>
      </c>
      <c r="N137" s="26">
        <f>N132</f>
        <v/>
      </c>
      <c r="O137" s="26">
        <f>O132</f>
        <v/>
      </c>
      <c r="P137" s="26">
        <f>P132</f>
        <v/>
      </c>
      <c r="Q137" s="26">
        <f>Q132</f>
        <v/>
      </c>
      <c r="R137" s="26">
        <f>R132</f>
        <v/>
      </c>
      <c r="S137" s="26">
        <f>S132</f>
        <v/>
      </c>
      <c r="T137" s="29">
        <f>T132</f>
        <v/>
      </c>
    </row>
    <row r="138">
      <c r="A138" s="15" t="inlineStr">
        <is>
          <t>29</t>
        </is>
      </c>
      <c r="B138" s="92" t="n">
        <v>1751</v>
      </c>
      <c r="C138" s="92" t="inlineStr">
        <is>
          <t>FELIX OKINYO</t>
        </is>
      </c>
      <c r="D138" s="16">
        <f>'FORM 2 2025'!T138</f>
        <v/>
      </c>
      <c r="E138" s="98" t="n">
        <v>2200</v>
      </c>
      <c r="F138" s="99" t="n"/>
      <c r="G138" s="97" t="n"/>
      <c r="H138" s="17" t="n">
        <v>0</v>
      </c>
      <c r="I138" s="17" t="n">
        <v>0</v>
      </c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">
        <f>D138+SUM(E138:G138)-SUM(H138:S138)</f>
        <v/>
      </c>
    </row>
    <row r="139">
      <c r="A139" s="15" t="inlineStr">
        <is>
          <t>30</t>
        </is>
      </c>
      <c r="B139" s="92" t="inlineStr">
        <is>
          <t>1753</t>
        </is>
      </c>
      <c r="C139" s="54" t="inlineStr">
        <is>
          <t>DANIEL OTIENO</t>
        </is>
      </c>
      <c r="D139" s="16">
        <f>'FORM 2 2025'!T139</f>
        <v/>
      </c>
      <c r="E139" s="96" t="n">
        <v>2200</v>
      </c>
      <c r="F139" s="97" t="n"/>
      <c r="G139" s="110" t="n"/>
      <c r="H139" s="17" t="n"/>
      <c r="I139" s="17" t="n"/>
      <c r="J139" s="37" t="n"/>
      <c r="K139" s="17" t="n"/>
      <c r="L139" s="17" t="n"/>
      <c r="M139" s="17" t="n"/>
      <c r="N139" s="17" t="n"/>
      <c r="O139" s="17" t="n"/>
      <c r="P139" s="17" t="n">
        <v>600</v>
      </c>
      <c r="Q139" s="17" t="n"/>
      <c r="R139" s="17" t="n"/>
      <c r="S139" s="17" t="n"/>
      <c r="T139" s="1">
        <f>D139+SUM(E139:G139)-SUM(H139:S139)</f>
        <v/>
      </c>
    </row>
    <row r="140">
      <c r="A140" s="15" t="inlineStr">
        <is>
          <t>31</t>
        </is>
      </c>
      <c r="B140" s="92" t="n">
        <v>1755</v>
      </c>
      <c r="C140" s="92" t="inlineStr">
        <is>
          <t>SAMUEL OMBOGO</t>
        </is>
      </c>
      <c r="D140" s="16">
        <f>'FORM 2 2025'!T140</f>
        <v/>
      </c>
      <c r="E140" s="96" t="n">
        <v>2200</v>
      </c>
      <c r="F140" s="97" t="n"/>
      <c r="G140" s="110" t="n"/>
      <c r="H140" s="17" t="n">
        <v>0</v>
      </c>
      <c r="I140" s="17" t="n">
        <v>0</v>
      </c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">
        <f>D140+SUM(E140:G140)-SUM(H140:S140)</f>
        <v/>
      </c>
    </row>
    <row r="141">
      <c r="A141" s="15" t="inlineStr">
        <is>
          <t>32</t>
        </is>
      </c>
      <c r="B141" s="92" t="n">
        <v>1761</v>
      </c>
      <c r="C141" s="92" t="inlineStr">
        <is>
          <t>DAVID OMONDI</t>
        </is>
      </c>
      <c r="D141" s="16">
        <f>'FORM 2 2025'!T141</f>
        <v/>
      </c>
      <c r="E141" s="96" t="n">
        <v>2200</v>
      </c>
      <c r="F141" s="97" t="n"/>
      <c r="G141" s="110" t="n"/>
      <c r="H141" s="17" t="n">
        <v>0</v>
      </c>
      <c r="I141" s="17" t="n">
        <v>0</v>
      </c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">
        <f>D141+SUM(E141:G141)-SUM(H141:S141)</f>
        <v/>
      </c>
    </row>
    <row r="142" ht="16.5" customHeight="1" s="101">
      <c r="A142" s="15" t="inlineStr">
        <is>
          <t>33</t>
        </is>
      </c>
      <c r="B142" s="92" t="n">
        <v>1762</v>
      </c>
      <c r="C142" s="92" t="inlineStr">
        <is>
          <t>SILVESTER ODUOR</t>
        </is>
      </c>
      <c r="D142" s="16">
        <f>'FORM 2 2025'!T142</f>
        <v/>
      </c>
      <c r="E142" s="96" t="n">
        <v>2200</v>
      </c>
      <c r="F142" s="97" t="n"/>
      <c r="G142" s="110" t="n"/>
      <c r="H142" s="17" t="n">
        <v>0</v>
      </c>
      <c r="I142" s="17" t="n">
        <v>0</v>
      </c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3">
        <f>D142+SUM(E142:G142)-SUM(H142:S142)</f>
        <v/>
      </c>
    </row>
    <row r="143">
      <c r="A143" s="15" t="inlineStr">
        <is>
          <t>34</t>
        </is>
      </c>
      <c r="B143" s="92" t="n">
        <v>1763</v>
      </c>
      <c r="C143" s="92" t="inlineStr">
        <is>
          <t>DICKSON OMINDE</t>
        </is>
      </c>
      <c r="D143" s="16">
        <f>'FORM 2 2025'!T143</f>
        <v/>
      </c>
      <c r="E143" s="96" t="n">
        <v>2200</v>
      </c>
      <c r="F143" s="97" t="n"/>
      <c r="G143" s="110" t="n"/>
      <c r="H143" s="17" t="n">
        <v>0</v>
      </c>
      <c r="I143" s="17" t="n">
        <v>0</v>
      </c>
      <c r="J143" s="42" t="n"/>
      <c r="K143" s="42" t="n"/>
      <c r="L143" s="42" t="n">
        <v>100</v>
      </c>
      <c r="M143" s="42" t="n"/>
      <c r="N143" s="42" t="n"/>
      <c r="O143" s="42" t="n"/>
      <c r="P143" s="42" t="n"/>
      <c r="Q143" s="42" t="n"/>
      <c r="R143" s="42" t="n"/>
      <c r="S143" s="42" t="n"/>
      <c r="T143" s="43">
        <f>D143+SUM(E143:G143)-SUM(H143:S143)</f>
        <v/>
      </c>
    </row>
    <row r="144">
      <c r="A144" s="15" t="inlineStr">
        <is>
          <t>35</t>
        </is>
      </c>
      <c r="B144" s="92" t="n">
        <v>1764</v>
      </c>
      <c r="C144" s="92" t="inlineStr">
        <is>
          <t>WILLIAM OKELO</t>
        </is>
      </c>
      <c r="D144" s="16">
        <f>'FORM 2 2025'!T144</f>
        <v/>
      </c>
      <c r="E144" s="96" t="n">
        <v>2200</v>
      </c>
      <c r="F144" s="97" t="n"/>
      <c r="G144" s="110" t="n"/>
      <c r="H144" s="17" t="n">
        <v>0</v>
      </c>
      <c r="I144" s="17" t="n">
        <v>0</v>
      </c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3">
        <f>D144+SUM(E144:G144)-SUM(H144:S144)</f>
        <v/>
      </c>
    </row>
    <row r="145">
      <c r="A145" s="15" t="inlineStr">
        <is>
          <t>36</t>
        </is>
      </c>
      <c r="B145" s="92" t="n">
        <v>1765</v>
      </c>
      <c r="C145" s="92" t="inlineStr">
        <is>
          <t>SHADRACK OWINO</t>
        </is>
      </c>
      <c r="D145" s="16">
        <f>'FORM 2 2025'!T145</f>
        <v/>
      </c>
      <c r="E145" s="98" t="n">
        <v>2200</v>
      </c>
      <c r="F145" s="99" t="n"/>
      <c r="G145" s="97" t="n"/>
      <c r="H145" s="17" t="n">
        <v>0</v>
      </c>
      <c r="I145" s="17" t="n">
        <v>0</v>
      </c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3">
        <f>D145+SUM(E145:G145)-SUM(H145:S145)</f>
        <v/>
      </c>
    </row>
    <row r="146">
      <c r="A146" s="15" t="inlineStr">
        <is>
          <t>37</t>
        </is>
      </c>
      <c r="B146" s="92" t="n">
        <v>1768</v>
      </c>
      <c r="C146" s="92" t="inlineStr">
        <is>
          <t>FELIX OKOTH</t>
        </is>
      </c>
      <c r="D146" s="16">
        <f>'FORM 2 2025'!T146</f>
        <v/>
      </c>
      <c r="E146" s="98" t="n">
        <v>2200</v>
      </c>
      <c r="F146" s="99" t="n"/>
      <c r="G146" s="97" t="n"/>
      <c r="H146" s="17" t="n">
        <v>0</v>
      </c>
      <c r="I146" s="17" t="n">
        <v>0</v>
      </c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3">
        <f>D146+SUM(E146:G146)-SUM(H146:S146)</f>
        <v/>
      </c>
    </row>
    <row r="147">
      <c r="A147" s="15" t="inlineStr">
        <is>
          <t>38</t>
        </is>
      </c>
      <c r="B147" s="92" t="n">
        <v>1771</v>
      </c>
      <c r="C147" s="54" t="inlineStr">
        <is>
          <t>JOSEPH OMONDI</t>
        </is>
      </c>
      <c r="D147" s="16">
        <f>'FORM 2 2025'!T147</f>
        <v/>
      </c>
      <c r="E147" s="98" t="n">
        <v>2200</v>
      </c>
      <c r="F147" s="99" t="n"/>
      <c r="G147" s="97" t="n"/>
      <c r="H147" s="17" t="n">
        <v>0</v>
      </c>
      <c r="I147" s="17" t="n">
        <v>0</v>
      </c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3">
        <f>D147+SUM(E147:G147)-SUM(H147:S147)</f>
        <v/>
      </c>
    </row>
    <row r="148">
      <c r="A148" s="15" t="inlineStr">
        <is>
          <t>39</t>
        </is>
      </c>
      <c r="B148" s="92" t="inlineStr">
        <is>
          <t>1775</t>
        </is>
      </c>
      <c r="C148" s="92" t="inlineStr">
        <is>
          <t>ABDALAH HASAN</t>
        </is>
      </c>
      <c r="D148" s="16">
        <f>'FORM 2 2025'!T148</f>
        <v/>
      </c>
      <c r="E148" s="96" t="n">
        <v>2200</v>
      </c>
      <c r="F148" s="97" t="n"/>
      <c r="G148" s="110" t="n"/>
      <c r="H148" s="17" t="n">
        <v>400</v>
      </c>
      <c r="I148" s="17" t="n">
        <v>1000</v>
      </c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3">
        <f>D148+SUM(E148:G148)-SUM(H148:S148)</f>
        <v/>
      </c>
    </row>
    <row r="149">
      <c r="A149" s="15" t="inlineStr">
        <is>
          <t>40</t>
        </is>
      </c>
      <c r="B149" s="92" t="inlineStr">
        <is>
          <t>1782</t>
        </is>
      </c>
      <c r="C149" s="92" t="inlineStr">
        <is>
          <t>BYRON OTIENO</t>
        </is>
      </c>
      <c r="D149" s="16">
        <f>'FORM 2 2025'!T149</f>
        <v/>
      </c>
      <c r="E149" s="96" t="n">
        <v>2200</v>
      </c>
      <c r="F149" s="97" t="n"/>
      <c r="G149" s="110" t="n"/>
      <c r="H149" s="17" t="n"/>
      <c r="I149" s="17" t="n"/>
      <c r="J149" s="42" t="n"/>
      <c r="K149" s="42" t="n"/>
      <c r="L149" s="42" t="n"/>
      <c r="M149" s="42" t="n"/>
      <c r="N149" s="42" t="n"/>
      <c r="O149" s="42" t="n"/>
      <c r="P149" s="42" t="n">
        <v>2300</v>
      </c>
      <c r="Q149" s="42" t="n"/>
      <c r="R149" s="42" t="n"/>
      <c r="S149" s="42" t="n"/>
      <c r="T149" s="43">
        <f>D149+SUM(E149:G149)-SUM(H149:S149)</f>
        <v/>
      </c>
    </row>
    <row r="150">
      <c r="A150" s="15" t="inlineStr">
        <is>
          <t>42</t>
        </is>
      </c>
      <c r="B150" s="92" t="n">
        <v>1785</v>
      </c>
      <c r="C150" s="92" t="inlineStr">
        <is>
          <t>SHADRACK MAHALA</t>
        </is>
      </c>
      <c r="D150" s="16">
        <f>'FORM 2 2025'!T150</f>
        <v/>
      </c>
      <c r="E150" s="96" t="n">
        <v>2200</v>
      </c>
      <c r="F150" s="97" t="n"/>
      <c r="G150" s="110" t="n"/>
      <c r="H150" s="17" t="n">
        <v>0</v>
      </c>
      <c r="I150" s="17" t="n">
        <v>0</v>
      </c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3">
        <f>D150+SUM(E150:G150)-SUM(H150:S150)</f>
        <v/>
      </c>
    </row>
    <row r="151">
      <c r="A151" s="15" t="inlineStr">
        <is>
          <t>43</t>
        </is>
      </c>
      <c r="B151" s="38" t="n">
        <v>1788</v>
      </c>
      <c r="C151" s="38" t="inlineStr">
        <is>
          <t>SHADRACK OLUOCH</t>
        </is>
      </c>
      <c r="D151" s="16">
        <f>'FORM 2 2025'!T151</f>
        <v/>
      </c>
      <c r="E151" s="96" t="n">
        <v>2200</v>
      </c>
      <c r="F151" s="97" t="n"/>
      <c r="G151" s="110" t="n"/>
      <c r="H151" s="42" t="n">
        <v>0</v>
      </c>
      <c r="I151" s="17" t="n">
        <v>0</v>
      </c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3">
        <f>D151+SUM(E151:G151)-SUM(H151:S151)</f>
        <v/>
      </c>
    </row>
    <row r="152" ht="18.75" customHeight="1" s="101">
      <c r="A152" s="15" t="inlineStr">
        <is>
          <t>45</t>
        </is>
      </c>
      <c r="B152" s="92" t="n">
        <v>1792</v>
      </c>
      <c r="C152" s="92" t="inlineStr">
        <is>
          <t>BRAVELY     OTIENO</t>
        </is>
      </c>
      <c r="D152" s="16">
        <f>'FORM 2 2025'!T152</f>
        <v/>
      </c>
      <c r="E152" s="98" t="n">
        <v>2200</v>
      </c>
      <c r="F152" s="99" t="n"/>
      <c r="G152" s="97" t="n"/>
      <c r="H152" s="42" t="n">
        <v>0</v>
      </c>
      <c r="I152" s="17" t="n">
        <v>0</v>
      </c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">
        <f>D152+SUM(E152:G152)-SUM(H152:S152)</f>
        <v/>
      </c>
    </row>
    <row r="153">
      <c r="A153" s="15" t="inlineStr">
        <is>
          <t>46</t>
        </is>
      </c>
      <c r="B153" s="92" t="n">
        <v>1796</v>
      </c>
      <c r="C153" s="92" t="inlineStr">
        <is>
          <t>GODFREY HARRYSON</t>
        </is>
      </c>
      <c r="D153" s="16">
        <f>'FORM 2 2025'!T153</f>
        <v/>
      </c>
      <c r="E153" s="98" t="n">
        <v>2200</v>
      </c>
      <c r="F153" s="99" t="n"/>
      <c r="G153" s="97" t="n"/>
      <c r="H153" s="42" t="n">
        <v>0</v>
      </c>
      <c r="I153" s="17" t="n">
        <v>0</v>
      </c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">
        <f>D153+SUM(E153:G153)-SUM(H153:S153)</f>
        <v/>
      </c>
    </row>
    <row r="154">
      <c r="A154" s="15" t="inlineStr">
        <is>
          <t>47</t>
        </is>
      </c>
      <c r="B154" s="92" t="n">
        <v>1795</v>
      </c>
      <c r="C154" s="92" t="inlineStr">
        <is>
          <t>BRIAN OTIENO</t>
        </is>
      </c>
      <c r="D154" s="16">
        <f>'FORM 2 2025'!T154</f>
        <v/>
      </c>
      <c r="E154" s="98" t="n">
        <v>2200</v>
      </c>
      <c r="F154" s="99" t="n"/>
      <c r="G154" s="97" t="n"/>
      <c r="H154" s="42" t="n">
        <v>0</v>
      </c>
      <c r="I154" s="17" t="n">
        <v>0</v>
      </c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0">
        <f>D154+SUM(E154:G154)-SUM(H154:S154)</f>
        <v/>
      </c>
    </row>
    <row r="155">
      <c r="A155" s="15" t="inlineStr">
        <is>
          <t>48</t>
        </is>
      </c>
      <c r="B155" s="92" t="n">
        <v>1798</v>
      </c>
      <c r="C155" s="92" t="inlineStr">
        <is>
          <t>FELIX OCHIENG</t>
        </is>
      </c>
      <c r="D155" s="16">
        <f>'FORM 2 2025'!T155</f>
        <v/>
      </c>
      <c r="E155" s="96" t="n">
        <v>2200</v>
      </c>
      <c r="F155" s="97" t="n"/>
      <c r="G155" s="110" t="n"/>
      <c r="H155" s="42" t="n">
        <v>0</v>
      </c>
      <c r="I155" s="17" t="n">
        <v>0</v>
      </c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35">
        <f>D155+SUM(E155:G155)-SUM(H155:S155)</f>
        <v/>
      </c>
    </row>
    <row r="156">
      <c r="A156" s="15" t="inlineStr">
        <is>
          <t>49</t>
        </is>
      </c>
      <c r="B156" s="92" t="n">
        <v>1800</v>
      </c>
      <c r="C156" s="92" t="inlineStr">
        <is>
          <t>SHELDON KEEN</t>
        </is>
      </c>
      <c r="D156" s="16">
        <f>'FORM 2 2025'!T156</f>
        <v/>
      </c>
      <c r="E156" s="96" t="n">
        <v>2200</v>
      </c>
      <c r="F156" s="97" t="n"/>
      <c r="G156" s="110" t="n"/>
      <c r="H156" s="42" t="n">
        <v>0</v>
      </c>
      <c r="I156" s="17" t="n">
        <v>0</v>
      </c>
      <c r="J156" s="17" t="n"/>
      <c r="K156" s="17" t="n"/>
      <c r="L156" s="17" t="n">
        <v>50</v>
      </c>
      <c r="M156" s="17" t="n"/>
      <c r="N156" s="17" t="n"/>
      <c r="O156" s="17" t="n"/>
      <c r="P156" s="17" t="n"/>
      <c r="Q156" s="17" t="n"/>
      <c r="R156" s="17" t="n"/>
      <c r="S156" s="17" t="n"/>
      <c r="T156" s="35">
        <f>D156+SUM(E156:G156)-SUM(H156:S156)</f>
        <v/>
      </c>
    </row>
    <row r="157">
      <c r="A157" s="15" t="inlineStr">
        <is>
          <t>50</t>
        </is>
      </c>
      <c r="B157" s="92" t="n">
        <v>1801</v>
      </c>
      <c r="C157" s="92" t="inlineStr">
        <is>
          <t>MIGY ISAC</t>
        </is>
      </c>
      <c r="D157" s="16">
        <f>'FORM 2 2025'!T157</f>
        <v/>
      </c>
      <c r="E157" s="96" t="n">
        <v>2200</v>
      </c>
      <c r="F157" s="97" t="n"/>
      <c r="G157" s="110" t="n"/>
      <c r="H157" s="42" t="n">
        <v>0</v>
      </c>
      <c r="I157" s="17" t="n">
        <v>0</v>
      </c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">
        <f>D157+SUM(E157:G157)-SUM(H157:S157)</f>
        <v/>
      </c>
    </row>
    <row r="158">
      <c r="A158" s="15" t="inlineStr">
        <is>
          <t>51</t>
        </is>
      </c>
      <c r="B158" s="92" t="inlineStr">
        <is>
          <t>1803</t>
        </is>
      </c>
      <c r="C158" s="92" t="inlineStr">
        <is>
          <t>HILARY CLINTON OGOMA</t>
        </is>
      </c>
      <c r="D158" s="16">
        <f>'FORM 2 2025'!T158</f>
        <v/>
      </c>
      <c r="E158" s="96" t="n">
        <v>2200</v>
      </c>
      <c r="F158" s="97" t="n"/>
      <c r="G158" s="110" t="n"/>
      <c r="H158" s="42" t="n"/>
      <c r="I158" s="17" t="n"/>
      <c r="J158" s="17" t="n"/>
      <c r="K158" s="17" t="n"/>
      <c r="L158" s="17" t="n"/>
      <c r="M158" s="17" t="n"/>
      <c r="N158" s="17" t="n"/>
      <c r="O158" s="17" t="n"/>
      <c r="P158" s="17" t="n">
        <v>1400</v>
      </c>
      <c r="Q158" s="17" t="n"/>
      <c r="R158" s="17" t="n"/>
      <c r="S158" s="17" t="n"/>
      <c r="T158" s="1">
        <f>D158+SUM(E158:G158)-SUM(H158:S158)</f>
        <v/>
      </c>
    </row>
    <row r="159" customFormat="1" s="59">
      <c r="A159" s="60" t="inlineStr">
        <is>
          <t>54</t>
        </is>
      </c>
      <c r="B159" s="45" t="n">
        <v>1808</v>
      </c>
      <c r="C159" s="45" t="inlineStr">
        <is>
          <t>PAUL OBAMA ODOGO</t>
        </is>
      </c>
      <c r="D159" s="16">
        <f>'FORM 2 2025'!T159</f>
        <v/>
      </c>
      <c r="E159" s="107" t="n">
        <v>2200</v>
      </c>
      <c r="F159" s="99" t="n"/>
      <c r="G159" s="97" t="n"/>
      <c r="H159" s="42" t="n">
        <v>0</v>
      </c>
      <c r="I159" s="17" t="n">
        <v>400</v>
      </c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62">
        <f>D159+SUM(E159:G159)-SUM(H159:S159)</f>
        <v/>
      </c>
    </row>
    <row r="160">
      <c r="A160" s="15" t="inlineStr">
        <is>
          <t>55</t>
        </is>
      </c>
      <c r="B160" s="92" t="inlineStr">
        <is>
          <t>1810</t>
        </is>
      </c>
      <c r="C160" s="45" t="inlineStr">
        <is>
          <t>JEREMIA ODHIAMBO</t>
        </is>
      </c>
      <c r="D160" s="16">
        <f>'FORM 2 2025'!T160</f>
        <v/>
      </c>
      <c r="E160" s="96" t="n">
        <v>2200</v>
      </c>
      <c r="F160" s="97" t="n"/>
      <c r="G160" s="110" t="n"/>
      <c r="H160" s="42" t="n"/>
      <c r="I160" s="17" t="n"/>
      <c r="J160" s="17" t="n"/>
      <c r="K160" s="17" t="n"/>
      <c r="L160" s="17" t="n"/>
      <c r="M160" s="17" t="n"/>
      <c r="N160" s="17" t="n"/>
      <c r="O160" s="17" t="n"/>
      <c r="P160" s="17" t="n">
        <v>800</v>
      </c>
      <c r="Q160" s="17" t="n"/>
      <c r="R160" s="17" t="n"/>
      <c r="S160" s="17" t="n"/>
      <c r="T160" s="1">
        <f>D160+SUM(E160:G160)-SUM(H160:S160)</f>
        <v/>
      </c>
    </row>
    <row r="161">
      <c r="A161" s="15" t="inlineStr">
        <is>
          <t>56</t>
        </is>
      </c>
      <c r="B161" s="92" t="inlineStr">
        <is>
          <t>1813</t>
        </is>
      </c>
      <c r="C161" s="45" t="inlineStr">
        <is>
          <t>CHARLSE OPIYO</t>
        </is>
      </c>
      <c r="D161" s="16">
        <f>'FORM 2 2025'!T161</f>
        <v/>
      </c>
      <c r="E161" s="96" t="n">
        <v>2200</v>
      </c>
      <c r="F161" s="97" t="n"/>
      <c r="G161" s="110" t="n"/>
      <c r="H161" s="42" t="n"/>
      <c r="I161" s="17" t="n"/>
      <c r="J161" s="17" t="n"/>
      <c r="K161" s="17" t="n"/>
      <c r="L161" s="17" t="n"/>
      <c r="M161" s="17" t="n"/>
      <c r="N161" s="17" t="n"/>
      <c r="O161" s="17" t="n"/>
      <c r="P161" s="17" t="n">
        <v>100</v>
      </c>
      <c r="Q161" s="17" t="n"/>
      <c r="R161" s="17" t="n"/>
      <c r="S161" s="17" t="n"/>
      <c r="T161" s="1">
        <f>D161+SUM(E161:G161)-SUM(H161:S161)</f>
        <v/>
      </c>
    </row>
    <row r="162">
      <c r="A162" s="15" t="inlineStr">
        <is>
          <t>57</t>
        </is>
      </c>
      <c r="B162" s="92" t="n">
        <v>1821</v>
      </c>
      <c r="C162" s="45" t="inlineStr">
        <is>
          <t>JOSEPH MASINDE</t>
        </is>
      </c>
      <c r="D162" s="16">
        <f>'FORM 2 2025'!T162</f>
        <v/>
      </c>
      <c r="E162" s="96" t="n">
        <v>2200</v>
      </c>
      <c r="F162" s="97" t="n"/>
      <c r="G162" s="3" t="n"/>
      <c r="H162" s="42" t="n">
        <v>0</v>
      </c>
      <c r="I162" s="17" t="n">
        <v>0</v>
      </c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11">
        <f>D162+SUM(E162:G162)-SUM(H162:S162)</f>
        <v/>
      </c>
    </row>
    <row r="163">
      <c r="A163" s="15" t="inlineStr">
        <is>
          <t>58</t>
        </is>
      </c>
      <c r="B163" s="92" t="inlineStr">
        <is>
          <t>1829</t>
        </is>
      </c>
      <c r="C163" s="45" t="inlineStr">
        <is>
          <t>BRITON ODIWUOR</t>
        </is>
      </c>
      <c r="D163" s="16">
        <f>'FORM 2 2025'!T163</f>
        <v/>
      </c>
      <c r="E163" s="96" t="n">
        <v>2200</v>
      </c>
      <c r="F163" s="97" t="n"/>
      <c r="G163" s="3" t="n"/>
      <c r="H163" s="42" t="n">
        <v>800</v>
      </c>
      <c r="I163" s="17" t="n">
        <v>800</v>
      </c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11">
        <f>D163+SUM(E163:G163)-SUM(H163:S163)</f>
        <v/>
      </c>
    </row>
    <row r="164">
      <c r="A164" s="15" t="inlineStr">
        <is>
          <t>59</t>
        </is>
      </c>
      <c r="B164" s="92" t="inlineStr">
        <is>
          <t>1837</t>
        </is>
      </c>
      <c r="C164" s="45" t="inlineStr">
        <is>
          <t>OTIENO OCHIENG BEZYLE</t>
        </is>
      </c>
      <c r="D164" s="16" t="n">
        <v>800</v>
      </c>
      <c r="E164" s="96" t="n">
        <v>2200</v>
      </c>
      <c r="F164" s="97" t="n"/>
      <c r="G164" s="3" t="n"/>
      <c r="H164" s="42" t="n"/>
      <c r="I164" s="91" t="n"/>
      <c r="J164" s="4" t="n"/>
      <c r="K164" s="4" t="n"/>
      <c r="L164" s="4" t="n"/>
      <c r="M164" s="4" t="n">
        <v>1600</v>
      </c>
      <c r="N164" s="4" t="n"/>
      <c r="O164" s="4" t="n"/>
      <c r="P164" s="4" t="n">
        <v>1500</v>
      </c>
      <c r="Q164" s="4" t="n"/>
      <c r="R164" s="4" t="n"/>
      <c r="S164" s="4" t="n"/>
      <c r="T164" s="11">
        <f>D164+SUM(E164:G164)-SUM(H164:S164)</f>
        <v/>
      </c>
    </row>
    <row r="165">
      <c r="A165" s="15" t="inlineStr">
        <is>
          <t>60</t>
        </is>
      </c>
      <c r="B165" s="92" t="n">
        <v>1838</v>
      </c>
      <c r="C165" s="45" t="inlineStr">
        <is>
          <t>OPOT FELIX OTIENO</t>
        </is>
      </c>
      <c r="D165" s="16">
        <f>'FORM 2 2025'!T165</f>
        <v/>
      </c>
      <c r="E165" s="96" t="n">
        <v>2200</v>
      </c>
      <c r="F165" s="97" t="n"/>
      <c r="G165" s="3" t="n"/>
      <c r="H165" s="42" t="n">
        <v>0</v>
      </c>
      <c r="I165" s="17" t="n">
        <v>0</v>
      </c>
      <c r="J165" s="4" t="n"/>
      <c r="K165" s="58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11">
        <f>D165+SUM(E165:G165)-SUM(H165:S165)</f>
        <v/>
      </c>
    </row>
    <row r="166">
      <c r="A166" s="15" t="inlineStr">
        <is>
          <t>61</t>
        </is>
      </c>
      <c r="B166" s="92" t="inlineStr">
        <is>
          <t>1842</t>
        </is>
      </c>
      <c r="C166" s="45" t="inlineStr">
        <is>
          <t>TREVOR OGUTU</t>
        </is>
      </c>
      <c r="D166" s="16">
        <f>'FORM 2 2025'!T166</f>
        <v/>
      </c>
      <c r="E166" s="96" t="n">
        <v>2200</v>
      </c>
      <c r="F166" s="97" t="n"/>
      <c r="G166" s="3" t="n"/>
      <c r="H166" s="42" t="n"/>
      <c r="I166" s="17" t="n"/>
      <c r="J166" s="4" t="n"/>
      <c r="K166" s="4" t="n"/>
      <c r="L166" s="4" t="n"/>
      <c r="M166" s="4" t="n">
        <v>100</v>
      </c>
      <c r="N166" s="4" t="n"/>
      <c r="O166" s="4" t="n"/>
      <c r="P166" s="4" t="n"/>
      <c r="Q166" s="4" t="n"/>
      <c r="R166" s="4" t="n"/>
      <c r="S166" s="4" t="n"/>
      <c r="T166" s="11">
        <f>D167+SUM(E167:G167)-SUM(H167:S167)</f>
        <v/>
      </c>
    </row>
    <row r="167">
      <c r="A167" s="15" t="inlineStr">
        <is>
          <t>62</t>
        </is>
      </c>
      <c r="B167" s="92" t="inlineStr">
        <is>
          <t>1854</t>
        </is>
      </c>
      <c r="C167" s="45" t="inlineStr">
        <is>
          <t>JOHN PAUL RAILA</t>
        </is>
      </c>
      <c r="D167" s="16">
        <f>'FORM 2 2025'!T167</f>
        <v/>
      </c>
      <c r="E167" s="96" t="n">
        <v>2200</v>
      </c>
      <c r="F167" s="97" t="n"/>
      <c r="G167" s="3" t="n"/>
      <c r="H167" s="42" t="n"/>
      <c r="I167" s="91" t="n"/>
      <c r="J167" s="4" t="n"/>
      <c r="K167" s="4" t="n"/>
      <c r="L167" s="4" t="n"/>
      <c r="M167" s="4" t="n"/>
      <c r="N167" s="4" t="n"/>
      <c r="O167" s="4" t="n"/>
      <c r="P167" s="4" t="n">
        <v>1200</v>
      </c>
      <c r="Q167" s="4" t="n"/>
      <c r="R167" s="4" t="n"/>
      <c r="S167" s="4" t="n"/>
      <c r="T167" s="11">
        <f>D1167+SUM(E167:G167)-SUM(H167:S167)</f>
        <v/>
      </c>
    </row>
    <row r="168">
      <c r="A168" s="15" t="inlineStr">
        <is>
          <t>63</t>
        </is>
      </c>
      <c r="B168" s="92" t="n">
        <v>1855</v>
      </c>
      <c r="C168" s="45" t="inlineStr">
        <is>
          <t>MICHAEL OMONDI</t>
        </is>
      </c>
      <c r="D168" s="16">
        <f>'FORM 2 2025'!T168</f>
        <v/>
      </c>
      <c r="E168" s="96" t="n">
        <v>2200</v>
      </c>
      <c r="F168" s="97" t="n"/>
      <c r="G168" s="3" t="n"/>
      <c r="H168" s="4" t="n"/>
      <c r="I168" s="17" t="n">
        <v>0</v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11">
        <f>D168+SUM(E168:G168)-SUM(H168:S168)</f>
        <v/>
      </c>
    </row>
    <row r="169">
      <c r="A169" s="15" t="inlineStr">
        <is>
          <t>64</t>
        </is>
      </c>
      <c r="B169" s="92" t="inlineStr">
        <is>
          <t>1856</t>
        </is>
      </c>
      <c r="C169" s="45" t="inlineStr">
        <is>
          <t>HUMPHREY OKOTH</t>
        </is>
      </c>
      <c r="D169" s="16">
        <f>'FORM 2 2025'!T169</f>
        <v/>
      </c>
      <c r="E169" s="96" t="n">
        <v>2200</v>
      </c>
      <c r="F169" s="97" t="n"/>
      <c r="G169" s="3" t="n"/>
      <c r="H169" s="4" t="n">
        <v>800</v>
      </c>
      <c r="I169" s="91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11">
        <f>D169+SUM(E169:G169)-SUM(H169:S169)</f>
        <v/>
      </c>
    </row>
    <row r="170">
      <c r="A170" s="15" t="inlineStr">
        <is>
          <t>65</t>
        </is>
      </c>
      <c r="B170" s="92" t="n">
        <v>1859</v>
      </c>
      <c r="C170" s="45" t="inlineStr">
        <is>
          <t>HENRY ODHIAMBO</t>
        </is>
      </c>
      <c r="D170" s="2">
        <f>'FORM 2 2025'!T170</f>
        <v/>
      </c>
      <c r="E170" s="96" t="n">
        <v>2200</v>
      </c>
      <c r="F170" s="97" t="n"/>
      <c r="G170" s="3" t="n"/>
      <c r="H170" s="4" t="n">
        <v>0</v>
      </c>
      <c r="I170" s="17" t="n">
        <v>0</v>
      </c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11">
        <f>D170+SUM(E170:G170)-SUM(H170:S170)</f>
        <v/>
      </c>
    </row>
    <row r="171">
      <c r="A171" s="15" t="inlineStr">
        <is>
          <t>66</t>
        </is>
      </c>
      <c r="B171" s="92" t="inlineStr">
        <is>
          <t>1891</t>
        </is>
      </c>
      <c r="C171" s="45" t="inlineStr">
        <is>
          <t>LABAN ODHIAMBO</t>
        </is>
      </c>
      <c r="D171" s="2">
        <f>'FORM 2 2025'!T171</f>
        <v/>
      </c>
      <c r="E171" s="96" t="n">
        <v>2200</v>
      </c>
      <c r="F171" s="97" t="n"/>
      <c r="G171" s="3" t="n"/>
      <c r="H171" s="4" t="n">
        <v>800</v>
      </c>
      <c r="I171" s="17" t="n">
        <v>800</v>
      </c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11">
        <f>D171+SUM(E171:G171)-SUM(H171:S171)</f>
        <v/>
      </c>
    </row>
    <row r="172" ht="15.75" customHeight="1" s="101" thickBot="1">
      <c r="A172" s="5" t="n"/>
      <c r="B172" s="5" t="n"/>
      <c r="C172" s="6" t="inlineStr">
        <is>
          <t>TOTAL</t>
        </is>
      </c>
      <c r="D172" s="7">
        <f>SUM(D137:D162)</f>
        <v/>
      </c>
      <c r="E172" s="8">
        <f>SUM(E137:E162)</f>
        <v/>
      </c>
      <c r="F172" s="8">
        <f>SUM(F137:F158)</f>
        <v/>
      </c>
      <c r="G172" s="8">
        <f>SUM(G137:G158)</f>
        <v/>
      </c>
      <c r="H172" s="8">
        <f>SUM(H137:H171)</f>
        <v/>
      </c>
      <c r="I172" s="8">
        <f>SUM(I137:I171)</f>
        <v/>
      </c>
      <c r="J172" s="8">
        <f>SUM(J137:J171)</f>
        <v/>
      </c>
      <c r="K172" s="8">
        <f>SUM(K137:K171)</f>
        <v/>
      </c>
      <c r="L172" s="8">
        <f>SUM(L137:L171)</f>
        <v/>
      </c>
      <c r="M172" s="8">
        <f>SUM(M137:M171)</f>
        <v/>
      </c>
      <c r="N172" s="8">
        <f>SUM(N137:N171)</f>
        <v/>
      </c>
      <c r="O172" s="8">
        <f>SUM(O137:O171)</f>
        <v/>
      </c>
      <c r="P172" s="8">
        <f>SUM(P137:P171)</f>
        <v/>
      </c>
      <c r="Q172" s="8">
        <f>SUM(Q137:Q171)</f>
        <v/>
      </c>
      <c r="R172" s="8">
        <f>SUM(R137:R171)</f>
        <v/>
      </c>
      <c r="S172" s="8">
        <f>SUM(S137:S171)</f>
        <v/>
      </c>
      <c r="T172" s="9">
        <f>SUM(T137:T162)</f>
        <v/>
      </c>
    </row>
    <row r="174">
      <c r="B174">
        <f>D174</f>
        <v/>
      </c>
      <c r="C174" s="76" t="inlineStr">
        <is>
          <t>TOTAL COLLECTION 2026 (3C)</t>
        </is>
      </c>
      <c r="D174" s="75">
        <f>SUM(H172,I172,J172,K172,L172,M172,N172,O172,P172,Q172,R172,S172)</f>
        <v/>
      </c>
      <c r="E174" s="75" t="n"/>
    </row>
    <row r="176">
      <c r="E176" s="73" t="n"/>
    </row>
    <row r="177">
      <c r="B177" t="inlineStr">
        <is>
          <t>1948</t>
        </is>
      </c>
      <c r="C177" t="inlineStr">
        <is>
          <t>HARRY JULIUS AYIEKO</t>
        </is>
      </c>
      <c r="D177" t="n">
        <v>0</v>
      </c>
      <c r="E177" t="n">
        <v>1400</v>
      </c>
      <c r="M177" t="n">
        <v>200</v>
      </c>
    </row>
    <row r="178">
      <c r="B178" t="inlineStr">
        <is>
          <t>1954</t>
        </is>
      </c>
      <c r="C178" t="inlineStr">
        <is>
          <t>Shantel Melia</t>
        </is>
      </c>
      <c r="D178" t="n">
        <v>0</v>
      </c>
      <c r="E178" t="n">
        <v>1400</v>
      </c>
      <c r="N178" t="n">
        <v>500</v>
      </c>
    </row>
    <row r="179">
      <c r="B179" t="inlineStr">
        <is>
          <t>1951</t>
        </is>
      </c>
      <c r="C179" t="inlineStr">
        <is>
          <t>Derick Otieno</t>
        </is>
      </c>
      <c r="D179" t="n">
        <v>0</v>
      </c>
      <c r="E179" t="n">
        <v>1400</v>
      </c>
      <c r="N179" t="n">
        <v>500</v>
      </c>
    </row>
    <row r="180">
      <c r="B180" t="inlineStr">
        <is>
          <t>1760</t>
        </is>
      </c>
      <c r="C180" t="inlineStr">
        <is>
          <t>Terry Ochieng</t>
        </is>
      </c>
      <c r="D180" t="n">
        <v>0</v>
      </c>
      <c r="E180" t="n">
        <v>600</v>
      </c>
      <c r="P180" t="n">
        <v>600</v>
      </c>
    </row>
    <row r="181">
      <c r="B181" t="inlineStr">
        <is>
          <t>1857</t>
        </is>
      </c>
      <c r="C181" t="inlineStr">
        <is>
          <t>Alphonse Wilson</t>
        </is>
      </c>
      <c r="D181" t="n">
        <v>0</v>
      </c>
      <c r="E181" t="n">
        <v>2200</v>
      </c>
      <c r="P181" t="n">
        <v>100</v>
      </c>
    </row>
  </sheetData>
  <mergeCells count="128">
    <mergeCell ref="E139:F139"/>
    <mergeCell ref="E13:G13"/>
    <mergeCell ref="E118:G118"/>
    <mergeCell ref="E129:F129"/>
    <mergeCell ref="A35:G35"/>
    <mergeCell ref="E142:F142"/>
    <mergeCell ref="E40:G40"/>
    <mergeCell ref="A134:D134"/>
    <mergeCell ref="E8:F8"/>
    <mergeCell ref="E131:F131"/>
    <mergeCell ref="E51:F51"/>
    <mergeCell ref="E156:F156"/>
    <mergeCell ref="E171:F171"/>
    <mergeCell ref="E104:G104"/>
    <mergeCell ref="E128:F128"/>
    <mergeCell ref="E155:F155"/>
    <mergeCell ref="H3:S3"/>
    <mergeCell ref="E148:F148"/>
    <mergeCell ref="E157:F157"/>
    <mergeCell ref="E166:F166"/>
    <mergeCell ref="E49:F49"/>
    <mergeCell ref="E27:F27"/>
    <mergeCell ref="E119:F119"/>
    <mergeCell ref="E163:F163"/>
    <mergeCell ref="E116:F116"/>
    <mergeCell ref="E106:G106"/>
    <mergeCell ref="E168:F168"/>
    <mergeCell ref="E113:F113"/>
    <mergeCell ref="E135:G135"/>
    <mergeCell ref="E115:F115"/>
    <mergeCell ref="E53:F53"/>
    <mergeCell ref="A2:D2"/>
    <mergeCell ref="E138:G138"/>
    <mergeCell ref="E122:F122"/>
    <mergeCell ref="E14:F14"/>
    <mergeCell ref="E30:G30"/>
    <mergeCell ref="E48:F48"/>
    <mergeCell ref="E6:G6"/>
    <mergeCell ref="E161:F161"/>
    <mergeCell ref="E170:F170"/>
    <mergeCell ref="H101:S101"/>
    <mergeCell ref="E159:G159"/>
    <mergeCell ref="A1:G1"/>
    <mergeCell ref="E47:G47"/>
    <mergeCell ref="E145:G145"/>
    <mergeCell ref="H135:S135"/>
    <mergeCell ref="E43:G43"/>
    <mergeCell ref="E26:F26"/>
    <mergeCell ref="E103:G103"/>
    <mergeCell ref="E124:F124"/>
    <mergeCell ref="A133:G133"/>
    <mergeCell ref="E120:F120"/>
    <mergeCell ref="E24:G24"/>
    <mergeCell ref="E16:F16"/>
    <mergeCell ref="E25:F25"/>
    <mergeCell ref="E153:G153"/>
    <mergeCell ref="E18:F18"/>
    <mergeCell ref="E58:F58"/>
    <mergeCell ref="E50:F50"/>
    <mergeCell ref="E121:F121"/>
    <mergeCell ref="E137:G137"/>
    <mergeCell ref="E130:F130"/>
    <mergeCell ref="A100:D100"/>
    <mergeCell ref="E151:F151"/>
    <mergeCell ref="E160:F160"/>
    <mergeCell ref="E141:F141"/>
    <mergeCell ref="E52:F52"/>
    <mergeCell ref="E123:F123"/>
    <mergeCell ref="E150:F150"/>
    <mergeCell ref="E44:F44"/>
    <mergeCell ref="E107:F107"/>
    <mergeCell ref="E20:F20"/>
    <mergeCell ref="E143:F143"/>
    <mergeCell ref="E149:F149"/>
    <mergeCell ref="A36:D36"/>
    <mergeCell ref="E136:G136"/>
    <mergeCell ref="E114:F114"/>
    <mergeCell ref="E158:F158"/>
    <mergeCell ref="E22:G22"/>
    <mergeCell ref="E15:F15"/>
    <mergeCell ref="E108:F108"/>
    <mergeCell ref="E46:F46"/>
    <mergeCell ref="E37:G37"/>
    <mergeCell ref="E102:G102"/>
    <mergeCell ref="E12:G12"/>
    <mergeCell ref="E61:F61"/>
    <mergeCell ref="E21:G21"/>
    <mergeCell ref="E162:F162"/>
    <mergeCell ref="E144:F144"/>
    <mergeCell ref="E57:F57"/>
    <mergeCell ref="E54:F54"/>
    <mergeCell ref="E127:G127"/>
    <mergeCell ref="E125:F125"/>
    <mergeCell ref="E7:F7"/>
    <mergeCell ref="E23:G23"/>
    <mergeCell ref="E41:F41"/>
    <mergeCell ref="E164:F164"/>
    <mergeCell ref="E4:G4"/>
    <mergeCell ref="E147:G147"/>
    <mergeCell ref="E56:F56"/>
    <mergeCell ref="E42:F42"/>
    <mergeCell ref="E165:F165"/>
    <mergeCell ref="E17:F17"/>
    <mergeCell ref="E105:G105"/>
    <mergeCell ref="E126:F126"/>
    <mergeCell ref="E140:F140"/>
    <mergeCell ref="E10:F10"/>
    <mergeCell ref="E154:G154"/>
    <mergeCell ref="E19:F19"/>
    <mergeCell ref="E28:F28"/>
    <mergeCell ref="E101:G101"/>
    <mergeCell ref="H37:S37"/>
    <mergeCell ref="E9:F9"/>
    <mergeCell ref="E167:F167"/>
    <mergeCell ref="E146:G146"/>
    <mergeCell ref="E11:F11"/>
    <mergeCell ref="E45:F45"/>
    <mergeCell ref="E169:F169"/>
    <mergeCell ref="E3:G3"/>
    <mergeCell ref="A99:G99"/>
    <mergeCell ref="E117:G117"/>
    <mergeCell ref="E55:G55"/>
    <mergeCell ref="E5:G5"/>
    <mergeCell ref="E39:G39"/>
    <mergeCell ref="E29:G29"/>
    <mergeCell ref="E109:F109"/>
    <mergeCell ref="E38:G38"/>
    <mergeCell ref="E152:G152"/>
  </mergeCells>
  <pageMargins left="0.7" right="0.7" top="0.75" bottom="0.75" header="0.3" footer="0.3"/>
  <pageSetup orientation="landscape" paperSize="8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28"/>
  <sheetViews>
    <sheetView topLeftCell="C54" zoomScale="110" zoomScaleNormal="110" workbookViewId="0">
      <selection activeCell="T25" sqref="T25"/>
    </sheetView>
  </sheetViews>
  <sheetFormatPr baseColWidth="8" defaultRowHeight="15"/>
  <cols>
    <col hidden="1" width="9.140625" customWidth="1" style="101" min="1" max="2"/>
    <col width="4.7109375" customWidth="1" style="101" min="3" max="3"/>
    <col width="5.140625" customWidth="1" style="101" min="4" max="4"/>
    <col width="22.85546875" customWidth="1" style="101" min="5" max="5"/>
    <col width="10.140625" customWidth="1" style="101" min="6" max="6"/>
    <col width="10.42578125" customWidth="1" style="101" min="7" max="7"/>
    <col hidden="1" width="0.140625" customWidth="1" style="101" min="8" max="8"/>
    <col hidden="1" width="9.140625" customWidth="1" style="101" min="9" max="10"/>
    <col hidden="1" width="0.7109375" customWidth="1" style="101" min="11" max="11"/>
    <col hidden="1" width="0.85546875" customWidth="1" style="101" min="12" max="12"/>
    <col hidden="1" width="0.140625" customWidth="1" style="101" min="13" max="13"/>
    <col hidden="1" width="26.85546875" customWidth="1" style="101" min="14" max="14"/>
    <col hidden="1" width="41.7109375" customWidth="1" style="101" min="15" max="15"/>
    <col hidden="1" width="76.5703125" customWidth="1" style="101" min="16" max="16"/>
    <col hidden="1" width="0.42578125" customWidth="1" style="101" min="17" max="17"/>
    <col width="8.5703125" customWidth="1" style="101" min="18" max="19"/>
    <col width="9" customWidth="1" style="101" min="20" max="20"/>
    <col width="8.5703125" customWidth="1" style="101" min="21" max="23"/>
    <col width="10" customWidth="1" style="101" min="26" max="26"/>
    <col width="0.140625" customWidth="1" style="101" min="27" max="27"/>
    <col width="6.7109375" customWidth="1" style="101" min="28" max="28"/>
    <col width="8.28515625" customWidth="1" style="101" min="29" max="29"/>
    <col width="13" customWidth="1" style="101" min="30" max="30"/>
  </cols>
  <sheetData>
    <row r="1" ht="18" customHeight="1" s="101">
      <c r="C1" s="100" t="inlineStr">
        <is>
          <t>KIREMBE SECONDARY SCHOOL.</t>
        </is>
      </c>
    </row>
    <row r="2">
      <c r="C2" s="108" t="inlineStr">
        <is>
          <t xml:space="preserve"> FEE REGISTER(LUNCH)2026 FORM 4 A</t>
        </is>
      </c>
      <c r="G2" s="14" t="n"/>
      <c r="R2" s="14" t="n"/>
      <c r="S2" s="14" t="inlineStr">
        <is>
          <t>1ST TERM</t>
        </is>
      </c>
      <c r="T2" s="14" t="n"/>
      <c r="U2" s="14" t="n"/>
      <c r="V2" s="14" t="inlineStr">
        <is>
          <t>2ND TERM</t>
        </is>
      </c>
      <c r="W2" s="14" t="n"/>
      <c r="X2" s="14" t="n"/>
      <c r="Y2" s="14" t="n"/>
      <c r="Z2" s="14" t="inlineStr">
        <is>
          <t>3RD TERM</t>
        </is>
      </c>
    </row>
    <row r="3">
      <c r="C3" s="36" t="inlineStr">
        <is>
          <t>NO.</t>
        </is>
      </c>
      <c r="D3" s="36" t="inlineStr">
        <is>
          <t>ADM</t>
        </is>
      </c>
      <c r="E3" t="inlineStr">
        <is>
          <t>NAME</t>
        </is>
      </c>
      <c r="G3" s="103" t="inlineStr">
        <is>
          <t>DEBT</t>
        </is>
      </c>
      <c r="R3" s="104" t="inlineStr">
        <is>
          <t>REPAYMENT</t>
        </is>
      </c>
    </row>
    <row r="4">
      <c r="C4" s="12" t="n"/>
      <c r="D4" s="12" t="n"/>
      <c r="E4" s="13" t="n"/>
      <c r="F4" s="13" t="inlineStr">
        <is>
          <t>ARREAS</t>
        </is>
      </c>
      <c r="G4" s="105" t="n">
        <v>2026</v>
      </c>
      <c r="H4" s="106" t="n"/>
      <c r="I4" s="106" t="n"/>
      <c r="J4" s="106" t="n"/>
      <c r="K4" s="106" t="n"/>
      <c r="L4" s="106" t="n"/>
      <c r="M4" s="106" t="n"/>
      <c r="N4" s="106" t="n"/>
      <c r="O4" s="106" t="n"/>
      <c r="P4" s="106" t="n"/>
      <c r="Q4" s="106" t="n"/>
      <c r="R4" s="13" t="inlineStr">
        <is>
          <t>JAN</t>
        </is>
      </c>
      <c r="S4" s="13" t="inlineStr">
        <is>
          <t>FEB</t>
        </is>
      </c>
      <c r="T4" s="13" t="inlineStr">
        <is>
          <t>MAR</t>
        </is>
      </c>
      <c r="U4" s="13" t="inlineStr">
        <is>
          <t>APR</t>
        </is>
      </c>
      <c r="V4" s="13" t="inlineStr">
        <is>
          <t>MAY</t>
        </is>
      </c>
      <c r="W4" s="13" t="inlineStr">
        <is>
          <t>JUN</t>
        </is>
      </c>
      <c r="X4" s="13" t="inlineStr">
        <is>
          <t>JUL</t>
        </is>
      </c>
      <c r="Y4" s="13" t="inlineStr">
        <is>
          <t>AUG</t>
        </is>
      </c>
      <c r="Z4" s="13" t="inlineStr">
        <is>
          <t>SEP</t>
        </is>
      </c>
      <c r="AA4" s="13" t="inlineStr">
        <is>
          <t>OCT</t>
        </is>
      </c>
      <c r="AB4" s="13" t="inlineStr">
        <is>
          <t>NOV</t>
        </is>
      </c>
      <c r="AC4" s="13" t="inlineStr">
        <is>
          <t>PRE PAID</t>
        </is>
      </c>
      <c r="AD4" s="13" t="inlineStr">
        <is>
          <t>BALANCE</t>
        </is>
      </c>
    </row>
    <row r="5" ht="14.25" customHeight="1" s="101">
      <c r="C5" s="15" t="inlineStr">
        <is>
          <t>1</t>
        </is>
      </c>
      <c r="D5" s="92" t="n">
        <v>1594</v>
      </c>
      <c r="E5" s="92" t="inlineStr">
        <is>
          <t>MARY ANYANGO</t>
        </is>
      </c>
      <c r="F5" s="16" t="n">
        <v>4200</v>
      </c>
      <c r="G5" s="98" t="n">
        <v>2200</v>
      </c>
      <c r="H5" s="99" t="n"/>
      <c r="I5" s="99" t="n"/>
      <c r="J5" s="99" t="n"/>
      <c r="K5" s="99" t="n"/>
      <c r="L5" s="99" t="n"/>
      <c r="M5" s="99" t="n"/>
      <c r="N5" s="99" t="n"/>
      <c r="O5" s="99" t="n"/>
      <c r="P5" s="99" t="n"/>
      <c r="Q5" s="9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">
        <f>F5+SUM(G5:Q5)-SUM(R5:AC5)</f>
        <v/>
      </c>
    </row>
    <row r="6">
      <c r="C6" s="15" t="inlineStr">
        <is>
          <t>2</t>
        </is>
      </c>
      <c r="D6" s="92" t="inlineStr">
        <is>
          <t>1607</t>
        </is>
      </c>
      <c r="E6" s="92" t="inlineStr">
        <is>
          <t>ELIZABETH ACHIENG</t>
        </is>
      </c>
      <c r="F6" s="16" t="n">
        <v>2200</v>
      </c>
      <c r="G6" s="96" t="n">
        <v>2200</v>
      </c>
      <c r="H6" s="99" t="n"/>
      <c r="I6" s="99" t="n"/>
      <c r="J6" s="99" t="n"/>
      <c r="K6" s="99" t="n"/>
      <c r="L6" s="97" t="n"/>
      <c r="M6" s="110" t="n"/>
      <c r="N6" s="110" t="n"/>
      <c r="O6" s="110" t="n"/>
      <c r="P6" s="110" t="n"/>
      <c r="Q6" s="110" t="n"/>
      <c r="R6" s="17" t="n"/>
      <c r="S6" s="17" t="n"/>
      <c r="T6" s="17" t="n"/>
      <c r="U6" s="17" t="n"/>
      <c r="V6" s="17" t="n"/>
      <c r="W6" s="17" t="n">
        <v>200</v>
      </c>
      <c r="X6" s="17" t="n"/>
      <c r="Y6" s="17" t="n"/>
      <c r="Z6" s="17" t="n"/>
      <c r="AA6" s="17" t="n"/>
      <c r="AB6" s="17" t="n"/>
      <c r="AC6" s="17" t="n"/>
      <c r="AD6" s="1">
        <f>F6+SUM(G6:Q6)-SUM(R6:AC6)</f>
        <v/>
      </c>
    </row>
    <row r="7">
      <c r="C7" s="15" t="inlineStr">
        <is>
          <t>3</t>
        </is>
      </c>
      <c r="D7" s="92" t="inlineStr">
        <is>
          <t>1608</t>
        </is>
      </c>
      <c r="E7" s="92" t="inlineStr">
        <is>
          <t>MICHELLE .M.AKWARE</t>
        </is>
      </c>
      <c r="F7" s="16" t="n">
        <v>3200</v>
      </c>
      <c r="G7" s="96" t="n">
        <v>2200</v>
      </c>
      <c r="H7" s="99" t="n"/>
      <c r="I7" s="99" t="n"/>
      <c r="J7" s="99" t="n"/>
      <c r="K7" s="99" t="n"/>
      <c r="L7" s="97" t="n"/>
      <c r="M7" s="110" t="n"/>
      <c r="N7" s="110" t="n"/>
      <c r="O7" s="110" t="n"/>
      <c r="P7" s="110" t="n"/>
      <c r="Q7" s="110" t="n"/>
      <c r="R7" s="17" t="n"/>
      <c r="S7" s="17" t="n"/>
      <c r="T7" s="17" t="n">
        <v>500</v>
      </c>
      <c r="U7" s="17" t="n"/>
      <c r="V7" s="17" t="n"/>
      <c r="W7" s="17" t="n">
        <v>1000</v>
      </c>
      <c r="X7" s="17" t="n"/>
      <c r="Y7" s="17" t="n"/>
      <c r="Z7" s="17" t="n"/>
      <c r="AA7" s="17" t="n"/>
      <c r="AB7" s="17" t="n"/>
      <c r="AC7" s="17" t="n"/>
      <c r="AD7" s="1">
        <f>F7+SUM(G7:Q7)-SUM(R7:AC7)</f>
        <v/>
      </c>
    </row>
    <row r="8">
      <c r="C8" s="15" t="inlineStr">
        <is>
          <t>4</t>
        </is>
      </c>
      <c r="D8" s="92" t="n">
        <v>1610</v>
      </c>
      <c r="E8" s="92" t="inlineStr">
        <is>
          <t>BENEDETTE AWINO</t>
        </is>
      </c>
      <c r="F8" s="16" t="n">
        <v>3600</v>
      </c>
      <c r="G8" s="96" t="n">
        <v>2200</v>
      </c>
      <c r="H8" s="99" t="n"/>
      <c r="I8" s="99" t="n"/>
      <c r="J8" s="99" t="n"/>
      <c r="K8" s="99" t="n"/>
      <c r="L8" s="97" t="n"/>
      <c r="M8" s="90" t="n"/>
      <c r="N8" s="110" t="n"/>
      <c r="O8" s="110" t="n"/>
      <c r="P8" s="110" t="n"/>
      <c r="Q8" s="110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">
        <f>F8+SUM(G8:Q8)-SUM(R8:AC8)</f>
        <v/>
      </c>
    </row>
    <row r="9">
      <c r="C9" s="15" t="inlineStr">
        <is>
          <t>5</t>
        </is>
      </c>
      <c r="D9" s="92" t="inlineStr">
        <is>
          <t>1613</t>
        </is>
      </c>
      <c r="E9" s="92" t="inlineStr">
        <is>
          <t>IDA ADHIAMBO</t>
        </is>
      </c>
      <c r="F9" s="16" t="n">
        <v>1900</v>
      </c>
      <c r="G9" s="96" t="n">
        <v>2200</v>
      </c>
      <c r="H9" s="99" t="n"/>
      <c r="I9" s="99" t="n"/>
      <c r="J9" s="99" t="n"/>
      <c r="K9" s="99" t="n"/>
      <c r="L9" s="97" t="n"/>
      <c r="M9" s="110" t="n"/>
      <c r="N9" s="110" t="n"/>
      <c r="O9" s="110" t="n"/>
      <c r="P9" s="110" t="n"/>
      <c r="Q9" s="110" t="n"/>
      <c r="R9" s="17" t="n"/>
      <c r="S9" s="17" t="n"/>
      <c r="T9" s="17" t="n"/>
      <c r="U9" s="17" t="n"/>
      <c r="V9" s="17" t="n"/>
      <c r="W9" s="17" t="n">
        <v>1000</v>
      </c>
      <c r="X9" s="17" t="n"/>
      <c r="Y9" s="17" t="n"/>
      <c r="Z9" s="17" t="n"/>
      <c r="AA9" s="17" t="n"/>
      <c r="AB9" s="17" t="n"/>
      <c r="AC9" s="17" t="n"/>
      <c r="AD9" s="1">
        <f>F9+SUM(G9:Q9)-SUM(R9:AC9)</f>
        <v/>
      </c>
    </row>
    <row r="10">
      <c r="C10" s="15" t="inlineStr">
        <is>
          <t>6</t>
        </is>
      </c>
      <c r="D10" s="92" t="inlineStr">
        <is>
          <t>1614</t>
        </is>
      </c>
      <c r="E10" s="45" t="inlineStr">
        <is>
          <t>MILLICENT .A. ONDU</t>
        </is>
      </c>
      <c r="F10" s="16" t="n">
        <v>650</v>
      </c>
      <c r="G10" s="96" t="n">
        <v>2200</v>
      </c>
      <c r="H10" s="99" t="n"/>
      <c r="I10" s="99" t="n"/>
      <c r="J10" s="99" t="n"/>
      <c r="K10" s="99" t="n"/>
      <c r="L10" s="97" t="n"/>
      <c r="M10" s="110" t="n"/>
      <c r="N10" s="110" t="n"/>
      <c r="O10" s="110" t="n"/>
      <c r="P10" s="110" t="n"/>
      <c r="Q10" s="110" t="n"/>
      <c r="R10" s="17" t="n">
        <v>600</v>
      </c>
      <c r="S10" s="17" t="n">
        <v>450</v>
      </c>
      <c r="T10" s="17" t="n">
        <v>400</v>
      </c>
      <c r="U10" s="17" t="n">
        <v>780</v>
      </c>
      <c r="V10" s="17" t="n">
        <v>620</v>
      </c>
      <c r="W10" s="17" t="n"/>
      <c r="X10" s="17" t="n"/>
      <c r="Y10" s="17" t="n"/>
      <c r="Z10" s="17" t="n"/>
      <c r="AA10" s="17" t="n"/>
      <c r="AB10" s="17" t="n"/>
      <c r="AC10" s="17" t="n"/>
      <c r="AD10" s="1">
        <f>F10+SUM(G10:Q10)-SUM(R10:AC10)</f>
        <v/>
      </c>
    </row>
    <row r="11">
      <c r="C11" s="15" t="inlineStr">
        <is>
          <t>7</t>
        </is>
      </c>
      <c r="D11" s="92" t="n">
        <v>1618</v>
      </c>
      <c r="E11" s="92" t="inlineStr">
        <is>
          <t>YVONE ACHIENG</t>
        </is>
      </c>
      <c r="F11" s="16" t="n">
        <v>4200</v>
      </c>
      <c r="G11" s="98" t="n">
        <v>2200</v>
      </c>
      <c r="H11" s="99" t="n"/>
      <c r="I11" s="99" t="n"/>
      <c r="J11" s="99" t="n"/>
      <c r="K11" s="99" t="n"/>
      <c r="L11" s="99" t="n"/>
      <c r="M11" s="99" t="n"/>
      <c r="N11" s="99" t="n"/>
      <c r="O11" s="99" t="n"/>
      <c r="P11" s="99" t="n"/>
      <c r="Q11" s="97" t="n"/>
      <c r="R11" s="17" t="n"/>
      <c r="S11" s="17" t="n"/>
      <c r="T11" s="17" t="n"/>
      <c r="U11" s="41" t="n"/>
      <c r="V11" s="17" t="n"/>
      <c r="W11" s="41" t="n"/>
      <c r="X11" s="17" t="n"/>
      <c r="Y11" s="41" t="n"/>
      <c r="Z11" s="41" t="n"/>
      <c r="AA11" s="41" t="n"/>
      <c r="AB11" s="41" t="n"/>
      <c r="AC11" s="41" t="n"/>
      <c r="AD11" s="11">
        <f>F11+SUM(G11:Q11)-SUM(R11:AC11)</f>
        <v/>
      </c>
    </row>
    <row r="12">
      <c r="C12" s="15" t="inlineStr">
        <is>
          <t>8</t>
        </is>
      </c>
      <c r="D12" s="92" t="n">
        <v>1619</v>
      </c>
      <c r="E12" s="92" t="inlineStr">
        <is>
          <t>JANET ODANYA</t>
        </is>
      </c>
      <c r="F12" s="16" t="n">
        <v>2100</v>
      </c>
      <c r="G12" s="96" t="n">
        <v>2200</v>
      </c>
      <c r="H12" s="99" t="n"/>
      <c r="I12" s="99" t="n"/>
      <c r="J12" s="99" t="n"/>
      <c r="K12" s="99" t="n"/>
      <c r="L12" s="97" t="n"/>
      <c r="M12" s="110" t="n"/>
      <c r="N12" s="110" t="n"/>
      <c r="O12" s="110" t="n"/>
      <c r="P12" s="110" t="n"/>
      <c r="Q12" s="110" t="n"/>
      <c r="R12" s="17" t="n"/>
      <c r="S12" s="17" t="n"/>
      <c r="T12" s="17" t="n"/>
      <c r="U12" s="41" t="n"/>
      <c r="V12" s="17" t="n"/>
      <c r="W12" s="41" t="n"/>
      <c r="X12" s="17" t="n"/>
      <c r="Y12" s="41" t="n"/>
      <c r="Z12" s="41" t="n"/>
      <c r="AA12" s="41" t="n"/>
      <c r="AB12" s="41" t="n"/>
      <c r="AC12" s="41" t="n"/>
      <c r="AD12" s="11">
        <f>F12+SUM(G12:Q12)-SUM(R12:AC12)</f>
        <v/>
      </c>
    </row>
    <row r="13">
      <c r="C13" s="15" t="inlineStr">
        <is>
          <t>9</t>
        </is>
      </c>
      <c r="D13" s="92" t="n">
        <v>1622</v>
      </c>
      <c r="E13" s="92" t="inlineStr">
        <is>
          <t>PAULINE ADHIAMBO</t>
        </is>
      </c>
      <c r="F13" s="16" t="n">
        <v>1700</v>
      </c>
      <c r="G13" s="96" t="n">
        <v>2200</v>
      </c>
      <c r="H13" s="99" t="n"/>
      <c r="I13" s="99" t="n"/>
      <c r="J13" s="99" t="n"/>
      <c r="K13" s="99" t="n"/>
      <c r="L13" s="97" t="n"/>
      <c r="M13" s="110" t="n"/>
      <c r="N13" s="110" t="n"/>
      <c r="O13" s="110" t="n"/>
      <c r="P13" s="110" t="n"/>
      <c r="Q13" s="110" t="n"/>
      <c r="R13" s="17" t="n"/>
      <c r="S13" s="17" t="n"/>
      <c r="T13" s="17" t="n"/>
      <c r="U13" s="41" t="n"/>
      <c r="V13" s="17" t="n"/>
      <c r="W13" s="41" t="n"/>
      <c r="X13" s="17" t="n"/>
      <c r="Y13" s="41" t="n"/>
      <c r="Z13" s="41" t="n"/>
      <c r="AA13" s="41" t="n"/>
      <c r="AB13" s="41" t="n"/>
      <c r="AC13" s="41" t="n"/>
      <c r="AD13" s="11">
        <f>F13+SUM(G13:Q13)-SUM(R13:AC13)</f>
        <v/>
      </c>
    </row>
    <row r="14">
      <c r="C14" s="15" t="inlineStr">
        <is>
          <t>10</t>
        </is>
      </c>
      <c r="D14" s="92" t="inlineStr">
        <is>
          <t>1623</t>
        </is>
      </c>
      <c r="E14" s="45" t="inlineStr">
        <is>
          <t>EFFIE AWINO</t>
        </is>
      </c>
      <c r="F14" s="16" t="n">
        <v>-800</v>
      </c>
      <c r="G14" s="96" t="n">
        <v>2200</v>
      </c>
      <c r="H14" s="99" t="n"/>
      <c r="I14" s="99" t="n"/>
      <c r="J14" s="99" t="n"/>
      <c r="K14" s="99" t="n"/>
      <c r="L14" s="97" t="n"/>
      <c r="M14" s="110" t="n"/>
      <c r="N14" s="110" t="n"/>
      <c r="O14" s="110" t="n"/>
      <c r="P14" s="110" t="n"/>
      <c r="Q14" s="110" t="n"/>
      <c r="R14" s="17" t="n"/>
      <c r="S14" s="17" t="n"/>
      <c r="T14" s="17" t="n"/>
      <c r="U14" s="41" t="n"/>
      <c r="V14" s="17" t="n"/>
      <c r="W14" s="41" t="n">
        <v>500</v>
      </c>
      <c r="X14" s="17" t="n"/>
      <c r="Y14" s="41" t="n"/>
      <c r="Z14" s="41" t="n"/>
      <c r="AA14" s="41" t="n"/>
      <c r="AB14" s="41" t="n"/>
      <c r="AC14" s="41" t="n"/>
      <c r="AD14" s="11">
        <f>F14+SUM(G14:Q14)-SUM(R14:AC14)</f>
        <v/>
      </c>
    </row>
    <row r="15">
      <c r="C15" s="15" t="inlineStr">
        <is>
          <t>11</t>
        </is>
      </c>
      <c r="D15" s="92" t="inlineStr">
        <is>
          <t>1626</t>
        </is>
      </c>
      <c r="E15" s="54" t="inlineStr">
        <is>
          <t>MARCY ADHIAMBO</t>
        </is>
      </c>
      <c r="F15" s="16" t="n">
        <v>4400</v>
      </c>
      <c r="G15" s="96" t="n">
        <v>2200</v>
      </c>
      <c r="H15" s="99" t="n"/>
      <c r="I15" s="99" t="n"/>
      <c r="J15" s="99" t="n"/>
      <c r="K15" s="99" t="n"/>
      <c r="L15" s="97" t="n"/>
      <c r="M15" s="110" t="n"/>
      <c r="N15" s="110" t="n"/>
      <c r="O15" s="110" t="n"/>
      <c r="P15" s="110" t="n"/>
      <c r="Q15" s="110" t="n"/>
      <c r="R15" s="17" t="n"/>
      <c r="S15" s="17" t="n"/>
      <c r="T15" s="17" t="n"/>
      <c r="U15" s="41" t="n"/>
      <c r="V15" s="17" t="n"/>
      <c r="W15" s="41" t="n"/>
      <c r="X15" s="17" t="n">
        <v>550</v>
      </c>
      <c r="Y15" s="41" t="n"/>
      <c r="Z15" s="41" t="n"/>
      <c r="AA15" s="41" t="n"/>
      <c r="AB15" s="41" t="n"/>
      <c r="AC15" s="41" t="n"/>
      <c r="AD15" s="11">
        <f>F15+SUM(G15:Q15)-SUM(R15:AC15)</f>
        <v/>
      </c>
    </row>
    <row r="16" ht="12" customHeight="1" s="101">
      <c r="C16" s="15" t="inlineStr">
        <is>
          <t>12</t>
        </is>
      </c>
      <c r="D16" s="92" t="inlineStr">
        <is>
          <t>1628</t>
        </is>
      </c>
      <c r="E16" s="92" t="inlineStr">
        <is>
          <t>ANN MICHELL OCHUKA</t>
        </is>
      </c>
      <c r="F16" s="16" t="n">
        <v>-300</v>
      </c>
      <c r="G16" s="96" t="n">
        <v>2200</v>
      </c>
      <c r="H16" s="99" t="n"/>
      <c r="I16" s="99" t="n"/>
      <c r="J16" s="99" t="n"/>
      <c r="K16" s="99" t="n"/>
      <c r="L16" s="97" t="n"/>
      <c r="M16" s="110" t="n"/>
      <c r="N16" s="110" t="n"/>
      <c r="O16" s="110" t="n"/>
      <c r="P16" s="110" t="n"/>
      <c r="Q16" s="110" t="n"/>
      <c r="R16" s="17" t="n">
        <v>500</v>
      </c>
      <c r="S16" s="17" t="n">
        <v>800</v>
      </c>
      <c r="T16" s="17" t="n">
        <v>100</v>
      </c>
      <c r="U16" s="41" t="n"/>
      <c r="V16" s="17" t="n"/>
      <c r="W16" s="41" t="n"/>
      <c r="X16" s="17" t="n"/>
      <c r="Y16" s="41" t="n"/>
      <c r="Z16" s="41" t="n"/>
      <c r="AA16" s="41" t="n"/>
      <c r="AB16" s="41" t="n"/>
      <c r="AC16" s="41" t="n"/>
      <c r="AD16" s="1">
        <f>F16+SUM(G16:Q16)-SUM(R16:AC16)</f>
        <v/>
      </c>
    </row>
    <row r="17">
      <c r="C17" s="15" t="inlineStr">
        <is>
          <t>13</t>
        </is>
      </c>
      <c r="D17" s="92" t="n">
        <v>1631</v>
      </c>
      <c r="E17" s="45" t="inlineStr">
        <is>
          <t>EVERLYNE ATIENO</t>
        </is>
      </c>
      <c r="F17" s="16" t="n">
        <v>3500</v>
      </c>
      <c r="G17" s="98" t="n">
        <v>2200</v>
      </c>
      <c r="H17" s="99" t="n"/>
      <c r="I17" s="99" t="n"/>
      <c r="J17" s="99" t="n"/>
      <c r="K17" s="99" t="n"/>
      <c r="L17" s="99" t="n"/>
      <c r="M17" s="99" t="n"/>
      <c r="N17" s="99" t="n"/>
      <c r="O17" s="99" t="n"/>
      <c r="P17" s="99" t="n"/>
      <c r="Q17" s="9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">
        <f>F17+SUM(G17:Q17)-SUM(R17:AC17)</f>
        <v/>
      </c>
    </row>
    <row r="18">
      <c r="C18" s="15" t="inlineStr">
        <is>
          <t>14</t>
        </is>
      </c>
      <c r="D18" s="92" t="n">
        <v>1642</v>
      </c>
      <c r="E18" s="92" t="inlineStr">
        <is>
          <t>FLORENCE ATIENO</t>
        </is>
      </c>
      <c r="F18" s="16" t="n">
        <v>1700</v>
      </c>
      <c r="G18" s="96" t="n">
        <v>2200</v>
      </c>
      <c r="H18" s="99" t="n"/>
      <c r="I18" s="99" t="n"/>
      <c r="J18" s="99" t="n"/>
      <c r="K18" s="99" t="n"/>
      <c r="L18" s="97" t="n"/>
      <c r="M18" s="110" t="n"/>
      <c r="N18" s="110" t="n"/>
      <c r="O18" s="110" t="n"/>
      <c r="P18" s="110" t="n"/>
      <c r="Q18" s="110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1">
        <f>F18+SUM(G18:Q18)-SUM(R18:AC18)</f>
        <v/>
      </c>
    </row>
    <row r="19">
      <c r="C19" s="15" t="inlineStr">
        <is>
          <t>15</t>
        </is>
      </c>
      <c r="D19" s="92" t="inlineStr">
        <is>
          <t>1643</t>
        </is>
      </c>
      <c r="E19" s="45" t="inlineStr">
        <is>
          <t>JOYCE ATIENO</t>
        </is>
      </c>
      <c r="F19" s="16" t="n">
        <v>1600</v>
      </c>
      <c r="G19" s="96" t="n">
        <v>2200</v>
      </c>
      <c r="H19" s="99" t="n"/>
      <c r="I19" s="99" t="n"/>
      <c r="J19" s="99" t="n"/>
      <c r="K19" s="99" t="n"/>
      <c r="L19" s="97" t="n"/>
      <c r="M19" s="110" t="n"/>
      <c r="N19" s="110" t="n"/>
      <c r="O19" s="110" t="n"/>
      <c r="P19" s="110" t="n"/>
      <c r="Q19" s="110" t="n"/>
      <c r="R19" s="17" t="n"/>
      <c r="S19" s="17" t="n"/>
      <c r="T19" s="17" t="n"/>
      <c r="U19" s="17" t="n"/>
      <c r="V19" s="17" t="n"/>
      <c r="W19" s="17" t="n">
        <v>500</v>
      </c>
      <c r="X19" s="17" t="n"/>
      <c r="Y19" s="17" t="n"/>
      <c r="Z19" s="17" t="n"/>
      <c r="AA19" s="17" t="n"/>
      <c r="AB19" s="17" t="n"/>
      <c r="AC19" s="17" t="n"/>
      <c r="AD19" s="1">
        <f>F19+SUM(G19:Q19)-SUM(R19:AC19)</f>
        <v/>
      </c>
    </row>
    <row r="20">
      <c r="C20" s="15" t="inlineStr">
        <is>
          <t>16</t>
        </is>
      </c>
      <c r="D20" s="92" t="n">
        <v>1644</v>
      </c>
      <c r="E20" s="92" t="inlineStr">
        <is>
          <t>ANNA ATIENO OTIENO</t>
        </is>
      </c>
      <c r="F20" s="16" t="n">
        <v>4200</v>
      </c>
      <c r="G20" s="96" t="n">
        <v>2200</v>
      </c>
      <c r="H20" s="99" t="n"/>
      <c r="I20" s="99" t="n"/>
      <c r="J20" s="99" t="n"/>
      <c r="K20" s="99" t="n"/>
      <c r="L20" s="97" t="n"/>
      <c r="M20" s="110" t="n"/>
      <c r="N20" s="110" t="n"/>
      <c r="O20" s="110" t="n"/>
      <c r="P20" s="110" t="n"/>
      <c r="Q20" s="110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">
        <f>F20+SUM(G20:Q20)-SUM(R20:AC20)</f>
        <v/>
      </c>
    </row>
    <row r="21" ht="14.25" customHeight="1" s="101">
      <c r="C21" s="15" t="inlineStr">
        <is>
          <t>17</t>
        </is>
      </c>
      <c r="D21" s="92" t="inlineStr">
        <is>
          <t>1646</t>
        </is>
      </c>
      <c r="E21" s="92" t="inlineStr">
        <is>
          <t>JULIAN ADONGO</t>
        </is>
      </c>
      <c r="F21" s="16" t="n">
        <v>800</v>
      </c>
      <c r="G21" s="96" t="n">
        <v>2200</v>
      </c>
      <c r="H21" s="99" t="n"/>
      <c r="I21" s="99" t="n"/>
      <c r="J21" s="99" t="n"/>
      <c r="K21" s="99" t="n"/>
      <c r="L21" s="97" t="n"/>
      <c r="M21" s="110" t="n"/>
      <c r="N21" s="110" t="n"/>
      <c r="O21" s="110" t="n"/>
      <c r="P21" s="110" t="n"/>
      <c r="Q21" s="110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">
        <f>F21+SUM(G21:Q21)-SUM(R21:AC21)</f>
        <v/>
      </c>
    </row>
    <row r="22">
      <c r="C22" s="15" t="inlineStr">
        <is>
          <t>18</t>
        </is>
      </c>
      <c r="D22" s="92" t="inlineStr">
        <is>
          <t>1648</t>
        </is>
      </c>
      <c r="E22" s="45" t="inlineStr">
        <is>
          <t>BECKY AKINYI</t>
        </is>
      </c>
      <c r="F22" s="16" t="n">
        <v>3850</v>
      </c>
      <c r="G22" s="98" t="n">
        <v>2200</v>
      </c>
      <c r="H22" s="99" t="n"/>
      <c r="I22" s="99" t="n"/>
      <c r="J22" s="99" t="n"/>
      <c r="K22" s="99" t="n"/>
      <c r="L22" s="99" t="n"/>
      <c r="M22" s="99" t="n"/>
      <c r="N22" s="99" t="n"/>
      <c r="O22" s="99" t="n"/>
      <c r="P22" s="99" t="n"/>
      <c r="Q22" s="97" t="n"/>
      <c r="R22" s="17" t="n"/>
      <c r="S22" s="17" t="n"/>
      <c r="T22" s="17" t="n"/>
      <c r="U22" s="17" t="n"/>
      <c r="V22" s="17" t="n"/>
      <c r="W22" s="17" t="n">
        <v>50</v>
      </c>
      <c r="X22" s="17" t="n"/>
      <c r="Y22" s="17" t="n"/>
      <c r="Z22" s="17" t="n"/>
      <c r="AA22" s="17" t="n"/>
      <c r="AB22" s="17" t="n"/>
      <c r="AC22" s="17" t="n"/>
      <c r="AD22" s="1">
        <f>F22+SUM(G22:Q22)-SUM(R22:AC22)</f>
        <v/>
      </c>
    </row>
    <row r="23">
      <c r="C23" s="15" t="inlineStr">
        <is>
          <t>19</t>
        </is>
      </c>
      <c r="D23" s="92" t="inlineStr">
        <is>
          <t>1649</t>
        </is>
      </c>
      <c r="E23" s="92" t="inlineStr">
        <is>
          <t>VIVIAN AYAKO</t>
        </is>
      </c>
      <c r="F23" s="16" t="n">
        <v>600</v>
      </c>
      <c r="G23" s="98" t="n">
        <v>2200</v>
      </c>
      <c r="H23" s="99" t="n"/>
      <c r="I23" s="99" t="n"/>
      <c r="J23" s="99" t="n"/>
      <c r="K23" s="99" t="n"/>
      <c r="L23" s="99" t="n"/>
      <c r="M23" s="99" t="n"/>
      <c r="N23" s="99" t="n"/>
      <c r="O23" s="99" t="n"/>
      <c r="P23" s="99" t="n"/>
      <c r="Q23" s="97" t="n"/>
      <c r="R23" s="17" t="n"/>
      <c r="S23" s="17" t="n"/>
      <c r="T23" s="17" t="n"/>
      <c r="U23" s="20" t="n"/>
      <c r="V23" s="17" t="n"/>
      <c r="W23" s="20" t="n">
        <v>100</v>
      </c>
      <c r="X23" s="20" t="n"/>
      <c r="Y23" s="20" t="n"/>
      <c r="Z23" s="20" t="n"/>
      <c r="AA23" s="20" t="n"/>
      <c r="AB23" s="20" t="n"/>
      <c r="AC23" s="20" t="n"/>
      <c r="AD23" s="1">
        <f>F23+SUM(G23:Q23)-SUM(R23:AC23)</f>
        <v/>
      </c>
    </row>
    <row r="24">
      <c r="C24" s="15" t="inlineStr">
        <is>
          <t>20</t>
        </is>
      </c>
      <c r="D24" s="92" t="inlineStr">
        <is>
          <t>1654</t>
        </is>
      </c>
      <c r="E24" s="45" t="inlineStr">
        <is>
          <t>MITCHEL AUMA</t>
        </is>
      </c>
      <c r="F24" s="16" t="n">
        <v>3450</v>
      </c>
      <c r="G24" s="96" t="n">
        <v>2200</v>
      </c>
      <c r="H24" s="99" t="n"/>
      <c r="I24" s="99" t="n"/>
      <c r="J24" s="99" t="n"/>
      <c r="K24" s="99" t="n"/>
      <c r="L24" s="97" t="n"/>
      <c r="M24" s="110" t="n"/>
      <c r="N24" s="110" t="n"/>
      <c r="O24" s="110" t="n"/>
      <c r="P24" s="110" t="n"/>
      <c r="Q24" s="110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">
        <f>F24+SUM(G24:Q24)-SUM(R24:AC24)</f>
        <v/>
      </c>
    </row>
    <row r="25">
      <c r="C25" s="15" t="inlineStr">
        <is>
          <t>21</t>
        </is>
      </c>
      <c r="D25" s="92" t="inlineStr">
        <is>
          <t>1655</t>
        </is>
      </c>
      <c r="E25" s="45" t="inlineStr">
        <is>
          <t>MILLICENT OCHUKA</t>
        </is>
      </c>
      <c r="F25" s="16" t="n">
        <v>3800</v>
      </c>
      <c r="G25" s="96" t="n">
        <v>2200</v>
      </c>
      <c r="H25" s="99" t="n"/>
      <c r="I25" s="99" t="n"/>
      <c r="J25" s="99" t="n"/>
      <c r="K25" s="99" t="n"/>
      <c r="L25" s="97" t="n"/>
      <c r="M25" s="110" t="n"/>
      <c r="N25" s="110" t="n"/>
      <c r="O25" s="110" t="n"/>
      <c r="P25" s="110" t="n"/>
      <c r="Q25" s="110" t="n"/>
      <c r="R25" s="17" t="n"/>
      <c r="S25" s="17" t="n"/>
      <c r="T25" s="17" t="n"/>
      <c r="U25" s="17" t="n"/>
      <c r="V25" s="17" t="n"/>
      <c r="W25" s="17" t="n">
        <v>200</v>
      </c>
      <c r="X25" s="17" t="n"/>
      <c r="Y25" s="17" t="n"/>
      <c r="Z25" s="17" t="n"/>
      <c r="AA25" s="17" t="n"/>
      <c r="AB25" s="17" t="n"/>
      <c r="AC25" s="17" t="n"/>
      <c r="AD25" s="1">
        <f>F25+SUM(G25:Q25)-SUM(R25:AC25)</f>
        <v/>
      </c>
    </row>
    <row r="26">
      <c r="C26" s="15" t="inlineStr">
        <is>
          <t>22</t>
        </is>
      </c>
      <c r="D26" s="92" t="inlineStr">
        <is>
          <t>1660</t>
        </is>
      </c>
      <c r="E26" s="92" t="inlineStr">
        <is>
          <t>FAITH MARION</t>
        </is>
      </c>
      <c r="F26" s="16" t="n">
        <v>3250</v>
      </c>
      <c r="G26" s="96" t="n">
        <v>2200</v>
      </c>
      <c r="H26" s="99" t="n"/>
      <c r="I26" s="99" t="n"/>
      <c r="J26" s="99" t="n"/>
      <c r="K26" s="99" t="n"/>
      <c r="L26" s="97" t="n"/>
      <c r="M26" s="110" t="n"/>
      <c r="N26" s="110" t="n"/>
      <c r="O26" s="110" t="n"/>
      <c r="P26" s="110" t="n"/>
      <c r="Q26" s="110" t="n"/>
      <c r="R26" s="17" t="n"/>
      <c r="S26" s="17" t="n"/>
      <c r="T26" s="17" t="n"/>
      <c r="U26" s="20" t="n"/>
      <c r="V26" s="20" t="n"/>
      <c r="W26" s="20" t="n">
        <v>300</v>
      </c>
      <c r="X26" s="20" t="n"/>
      <c r="Y26" s="20" t="n"/>
      <c r="Z26" s="20" t="n"/>
      <c r="AA26" s="20" t="n"/>
      <c r="AB26" s="20" t="n"/>
      <c r="AC26" s="20" t="n"/>
      <c r="AD26" s="11">
        <f>F26+SUM(G26:Q26)-SUM(R26:AC26)</f>
        <v/>
      </c>
    </row>
    <row r="27">
      <c r="C27" s="15" t="inlineStr">
        <is>
          <t>23</t>
        </is>
      </c>
      <c r="D27" s="92" t="inlineStr">
        <is>
          <t>1661</t>
        </is>
      </c>
      <c r="E27" s="45" t="inlineStr">
        <is>
          <t>LILIAN ADONGO</t>
        </is>
      </c>
      <c r="F27" s="16" t="n">
        <v>3150</v>
      </c>
      <c r="G27" s="98" t="n">
        <v>2200</v>
      </c>
      <c r="H27" s="99" t="n"/>
      <c r="I27" s="99" t="n"/>
      <c r="J27" s="99" t="n"/>
      <c r="K27" s="99" t="n"/>
      <c r="L27" s="99" t="n"/>
      <c r="M27" s="99" t="n"/>
      <c r="N27" s="99" t="n"/>
      <c r="O27" s="99" t="n"/>
      <c r="P27" s="99" t="n"/>
      <c r="Q27" s="97" t="n"/>
      <c r="R27" s="17" t="n"/>
      <c r="S27" s="17" t="n"/>
      <c r="T27" s="17" t="n"/>
      <c r="U27" s="17" t="n"/>
      <c r="V27" s="17" t="n"/>
      <c r="W27" s="17" t="n">
        <v>100</v>
      </c>
      <c r="X27" s="17" t="n"/>
      <c r="Y27" s="17" t="n"/>
      <c r="Z27" s="17" t="n"/>
      <c r="AA27" s="17" t="n"/>
      <c r="AB27" s="17" t="n"/>
      <c r="AC27" s="17" t="n"/>
      <c r="AD27" s="1">
        <f>F27+SUM(G27:Q27)-SUM(R27:AC27)</f>
        <v/>
      </c>
    </row>
    <row r="28">
      <c r="C28" s="15" t="inlineStr">
        <is>
          <t>24</t>
        </is>
      </c>
      <c r="D28" s="92" t="inlineStr">
        <is>
          <t>1662</t>
        </is>
      </c>
      <c r="E28" s="92" t="inlineStr">
        <is>
          <t>MARCELINE AWUOR</t>
        </is>
      </c>
      <c r="F28" s="16" t="n">
        <v>4000</v>
      </c>
      <c r="G28" s="98" t="n">
        <v>2200</v>
      </c>
      <c r="H28" s="99" t="n"/>
      <c r="I28" s="99" t="n"/>
      <c r="J28" s="99" t="n"/>
      <c r="K28" s="99" t="n"/>
      <c r="L28" s="99" t="n"/>
      <c r="M28" s="99" t="n"/>
      <c r="N28" s="99" t="n"/>
      <c r="O28" s="99" t="n"/>
      <c r="P28" s="99" t="n"/>
      <c r="Q28" s="97" t="n"/>
      <c r="R28" s="17" t="n"/>
      <c r="S28" s="17" t="n"/>
      <c r="T28" s="17" t="n"/>
      <c r="U28" s="17" t="n"/>
      <c r="V28" s="17" t="n"/>
      <c r="W28" s="17" t="n">
        <v>300</v>
      </c>
      <c r="X28" s="17" t="n"/>
      <c r="Y28" s="17" t="n"/>
      <c r="Z28" s="17" t="n"/>
      <c r="AA28" s="17" t="n"/>
      <c r="AB28" s="17" t="n"/>
      <c r="AC28" s="17" t="n"/>
      <c r="AD28" s="1">
        <f>F28+SUM(G28:Q28)-SUM(R28:AC28)</f>
        <v/>
      </c>
    </row>
    <row r="29">
      <c r="C29" s="15" t="inlineStr">
        <is>
          <t>25</t>
        </is>
      </c>
      <c r="D29" s="92" t="inlineStr">
        <is>
          <t>1665</t>
        </is>
      </c>
      <c r="E29" s="92" t="inlineStr">
        <is>
          <t>BRENDA AWUOR</t>
        </is>
      </c>
      <c r="F29" s="16" t="n">
        <v>2500</v>
      </c>
      <c r="G29" s="96" t="n">
        <v>2200</v>
      </c>
      <c r="H29" s="99" t="n"/>
      <c r="I29" s="99" t="n"/>
      <c r="J29" s="99" t="n"/>
      <c r="K29" s="99" t="n"/>
      <c r="L29" s="97" t="n"/>
      <c r="M29" s="110" t="n"/>
      <c r="N29" s="110" t="n"/>
      <c r="O29" s="110" t="n"/>
      <c r="P29" s="110" t="n"/>
      <c r="Q29" s="110" t="n"/>
      <c r="R29" s="17" t="n"/>
      <c r="S29" s="17" t="n"/>
      <c r="T29" s="17" t="n"/>
      <c r="U29" s="17" t="n"/>
      <c r="V29" s="17" t="n"/>
      <c r="W29" s="17" t="n">
        <v>800</v>
      </c>
      <c r="X29" s="17" t="n"/>
      <c r="Y29" s="17" t="n"/>
      <c r="Z29" s="17" t="n"/>
      <c r="AA29" s="17" t="n"/>
      <c r="AB29" s="17" t="n"/>
      <c r="AC29" s="17" t="n"/>
      <c r="AD29" s="1">
        <f>F29+SUM(G29:Q29)-SUM(R29:AC29)</f>
        <v/>
      </c>
    </row>
    <row r="30">
      <c r="C30" s="15" t="inlineStr">
        <is>
          <t>26</t>
        </is>
      </c>
      <c r="D30" s="92" t="n">
        <v>1666</v>
      </c>
      <c r="E30" s="45" t="inlineStr">
        <is>
          <t>PAMELA AOKO</t>
        </is>
      </c>
      <c r="F30" s="16" t="n">
        <v>4200</v>
      </c>
      <c r="G30" s="96" t="n">
        <v>2200</v>
      </c>
      <c r="H30" s="99" t="n"/>
      <c r="I30" s="99" t="n"/>
      <c r="J30" s="99" t="n"/>
      <c r="K30" s="99" t="n"/>
      <c r="L30" s="97" t="n"/>
      <c r="M30" s="90" t="n"/>
      <c r="N30" s="110" t="n"/>
      <c r="O30" s="110" t="n"/>
      <c r="P30" s="110" t="n"/>
      <c r="Q30" s="110" t="n"/>
      <c r="R30" s="17" t="n"/>
      <c r="S30" s="17" t="n"/>
      <c r="T30" s="17" t="n"/>
      <c r="U30" s="17" t="n"/>
      <c r="V30" s="17" t="n">
        <v>400</v>
      </c>
      <c r="W30" s="17" t="n"/>
      <c r="X30" s="17" t="n"/>
      <c r="Y30" s="17" t="n"/>
      <c r="Z30" s="17" t="n"/>
      <c r="AA30" s="17" t="n"/>
      <c r="AB30" s="17" t="n"/>
      <c r="AC30" s="17" t="n"/>
      <c r="AD30" s="1">
        <f>F30+SUM(G30:Q30)-SUM(R30:AC30)</f>
        <v/>
      </c>
    </row>
    <row r="31" ht="15.75" customHeight="1" s="101" thickBot="1">
      <c r="C31" s="21" t="n"/>
      <c r="D31" s="21" t="n"/>
      <c r="E31" s="22" t="inlineStr">
        <is>
          <t>TOTAL</t>
        </is>
      </c>
      <c r="F31" s="7">
        <f>SUM(F5:F30)</f>
        <v/>
      </c>
      <c r="G31" s="8">
        <f>SUM(G5:G30)</f>
        <v/>
      </c>
      <c r="H31" s="8">
        <f>SUM(H5:H23)</f>
        <v/>
      </c>
      <c r="I31" s="8">
        <f>SUM(I5:I23)</f>
        <v/>
      </c>
      <c r="J31" s="8">
        <f>SUM(J5:J23)</f>
        <v/>
      </c>
      <c r="K31" s="8">
        <f>SUM(K5:K23)</f>
        <v/>
      </c>
      <c r="L31" s="8">
        <f>SUM(L5:L23)</f>
        <v/>
      </c>
      <c r="M31" s="8">
        <f>SUM(M5:M23)</f>
        <v/>
      </c>
      <c r="N31" s="8">
        <f>SUM(N5:N23)</f>
        <v/>
      </c>
      <c r="O31" s="8">
        <f>SUM(O5:O23)</f>
        <v/>
      </c>
      <c r="P31" s="8">
        <f>SUM(P5:P23)</f>
        <v/>
      </c>
      <c r="Q31" s="8">
        <f>SUM(Q5:Q23)</f>
        <v/>
      </c>
      <c r="R31" s="8">
        <f>SUM(R5:R30)</f>
        <v/>
      </c>
      <c r="S31" s="8">
        <f>SUM(S5:S30)</f>
        <v/>
      </c>
      <c r="T31" s="8">
        <f>SUM(T5:T30)</f>
        <v/>
      </c>
      <c r="U31" s="8">
        <f>SUM(U5:U30)</f>
        <v/>
      </c>
      <c r="V31" s="8">
        <f>SUM(V5:V30)</f>
        <v/>
      </c>
      <c r="W31" s="8">
        <f>SUM(W5:W30)</f>
        <v/>
      </c>
      <c r="X31" s="8">
        <f>SUM(X5:X30)</f>
        <v/>
      </c>
      <c r="Y31" s="8">
        <f>SUM(Y5:Y30)</f>
        <v/>
      </c>
      <c r="Z31" s="8">
        <f>SUM(Z5:Z30)</f>
        <v/>
      </c>
      <c r="AA31" s="8">
        <f>SUM(AA5:AA30)</f>
        <v/>
      </c>
      <c r="AB31" s="8">
        <f>SUM(AB5:AB30)</f>
        <v/>
      </c>
      <c r="AC31" s="8">
        <f>SUM(AC5:AC30)</f>
        <v/>
      </c>
      <c r="AD31" s="9">
        <f>SUM(AD5:AD30)</f>
        <v/>
      </c>
    </row>
    <row r="32">
      <c r="C32" s="33" t="n"/>
      <c r="D32" s="33" t="n"/>
      <c r="E32" s="34" t="n"/>
      <c r="F32" s="30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2" t="n"/>
    </row>
    <row r="33" ht="18" customHeight="1" s="101">
      <c r="C33" s="100" t="inlineStr">
        <is>
          <t>KIREMBE SECONDARY SCHOOL.</t>
        </is>
      </c>
    </row>
    <row r="34">
      <c r="C34" s="108" t="inlineStr">
        <is>
          <t xml:space="preserve"> FEE REGISTER(LUNCH)2026 FORM 4A</t>
        </is>
      </c>
      <c r="G34" s="14" t="n"/>
      <c r="R34" s="14" t="n"/>
      <c r="S34" s="14" t="inlineStr">
        <is>
          <t>1ST TERM</t>
        </is>
      </c>
      <c r="T34" s="14" t="n"/>
      <c r="U34" s="14" t="n"/>
      <c r="V34" s="14" t="inlineStr">
        <is>
          <t>2ND TERM</t>
        </is>
      </c>
      <c r="W34" s="14" t="n"/>
      <c r="X34" s="14" t="n"/>
      <c r="Y34" s="14" t="n"/>
      <c r="Z34" s="14" t="inlineStr">
        <is>
          <t>3RD TERM</t>
        </is>
      </c>
    </row>
    <row r="35" ht="51.75" customHeight="1" s="101">
      <c r="C35" s="36" t="inlineStr">
        <is>
          <t>NO.</t>
        </is>
      </c>
      <c r="D35" s="36" t="inlineStr">
        <is>
          <t>ADM</t>
        </is>
      </c>
      <c r="E35" t="inlineStr">
        <is>
          <t>NAME</t>
        </is>
      </c>
      <c r="G35" s="103" t="inlineStr">
        <is>
          <t>DEBT</t>
        </is>
      </c>
      <c r="R35" s="104" t="inlineStr">
        <is>
          <t>REPAYMENT</t>
        </is>
      </c>
    </row>
    <row r="36">
      <c r="C36" s="12" t="n"/>
      <c r="D36" s="12" t="n"/>
      <c r="E36" s="13" t="n"/>
      <c r="F36" s="13" t="inlineStr">
        <is>
          <t>ARREAS</t>
        </is>
      </c>
      <c r="G36" s="105" t="n">
        <v>2026</v>
      </c>
      <c r="H36" s="106" t="n"/>
      <c r="I36" s="106" t="n"/>
      <c r="J36" s="106" t="n"/>
      <c r="K36" s="106" t="n"/>
      <c r="L36" s="106" t="n"/>
      <c r="M36" s="106" t="n"/>
      <c r="N36" s="106" t="n"/>
      <c r="O36" s="106" t="n"/>
      <c r="P36" s="106" t="n"/>
      <c r="Q36" s="106" t="n"/>
      <c r="R36" s="13" t="inlineStr">
        <is>
          <t>JAN</t>
        </is>
      </c>
      <c r="S36" s="13" t="inlineStr">
        <is>
          <t>FEB</t>
        </is>
      </c>
      <c r="T36" s="13" t="inlineStr">
        <is>
          <t>MAR</t>
        </is>
      </c>
      <c r="U36" s="13" t="inlineStr">
        <is>
          <t>APR</t>
        </is>
      </c>
      <c r="V36" s="13" t="inlineStr">
        <is>
          <t>MAY</t>
        </is>
      </c>
      <c r="W36" s="13" t="inlineStr">
        <is>
          <t>JUN</t>
        </is>
      </c>
      <c r="X36" s="13" t="inlineStr">
        <is>
          <t>JUL</t>
        </is>
      </c>
      <c r="Y36" s="13" t="inlineStr">
        <is>
          <t>AUG</t>
        </is>
      </c>
      <c r="Z36" s="13" t="inlineStr">
        <is>
          <t>SEP</t>
        </is>
      </c>
      <c r="AA36" s="13" t="inlineStr">
        <is>
          <t>OCT</t>
        </is>
      </c>
      <c r="AB36" s="13" t="inlineStr">
        <is>
          <t>NOV</t>
        </is>
      </c>
      <c r="AC36" s="13" t="inlineStr">
        <is>
          <t>PRE PAID</t>
        </is>
      </c>
      <c r="AD36" s="13" t="inlineStr">
        <is>
          <t>BALANCE</t>
        </is>
      </c>
    </row>
    <row r="37">
      <c r="C37" s="15" t="n"/>
      <c r="D37" s="92" t="n"/>
      <c r="E37" s="24" t="n"/>
      <c r="F37" s="25">
        <f>F31</f>
        <v/>
      </c>
      <c r="G37" s="98">
        <f>G31</f>
        <v/>
      </c>
      <c r="H37" s="99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7" t="n"/>
      <c r="R37" s="26">
        <f>R31</f>
        <v/>
      </c>
      <c r="S37" s="27">
        <f>S31</f>
        <v/>
      </c>
      <c r="T37" s="27">
        <f>T31</f>
        <v/>
      </c>
      <c r="U37" s="27">
        <f>U31</f>
        <v/>
      </c>
      <c r="V37" s="27">
        <f>V31</f>
        <v/>
      </c>
      <c r="W37" s="27">
        <f>W31</f>
        <v/>
      </c>
      <c r="X37" s="27">
        <f>X31</f>
        <v/>
      </c>
      <c r="Y37" s="27">
        <f>Y31</f>
        <v/>
      </c>
      <c r="Z37" s="27">
        <f>Z31</f>
        <v/>
      </c>
      <c r="AA37" s="27" t="n"/>
      <c r="AB37" s="27" t="n"/>
      <c r="AC37" s="26">
        <f>AC31</f>
        <v/>
      </c>
      <c r="AD37" s="1">
        <f>AD31</f>
        <v/>
      </c>
    </row>
    <row r="38">
      <c r="C38" s="15" t="inlineStr">
        <is>
          <t>27</t>
        </is>
      </c>
      <c r="D38" s="92" t="n">
        <v>1667</v>
      </c>
      <c r="E38" s="45" t="inlineStr">
        <is>
          <t>PHILISTER ATIENO</t>
        </is>
      </c>
      <c r="F38" s="16" t="n">
        <v>2700</v>
      </c>
      <c r="G38" s="96" t="n">
        <v>2200</v>
      </c>
      <c r="H38" s="99" t="n"/>
      <c r="I38" s="99" t="n"/>
      <c r="J38" s="99" t="n"/>
      <c r="K38" s="99" t="n"/>
      <c r="L38" s="97" t="n"/>
      <c r="M38" s="110" t="n"/>
      <c r="N38" s="110" t="n"/>
      <c r="O38" s="110" t="n"/>
      <c r="P38" s="110" t="n"/>
      <c r="Q38" s="110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">
        <f>F38+SUM(G38:Q38)-SUM(R38:AC38)</f>
        <v/>
      </c>
    </row>
    <row r="39">
      <c r="C39" s="15" t="inlineStr">
        <is>
          <t>28</t>
        </is>
      </c>
      <c r="D39" s="92" t="inlineStr">
        <is>
          <t>1668</t>
        </is>
      </c>
      <c r="E39" s="45" t="inlineStr">
        <is>
          <t>REHEMA ACHIENG</t>
        </is>
      </c>
      <c r="F39" s="16" t="n">
        <v>3050</v>
      </c>
      <c r="G39" s="96" t="n">
        <v>2200</v>
      </c>
      <c r="H39" s="99" t="n"/>
      <c r="I39" s="99" t="n"/>
      <c r="J39" s="99" t="n"/>
      <c r="K39" s="99" t="n"/>
      <c r="L39" s="97" t="n"/>
      <c r="M39" s="110" t="n"/>
      <c r="N39" s="110" t="n"/>
      <c r="O39" s="110" t="n"/>
      <c r="P39" s="110" t="n"/>
      <c r="Q39" s="110" t="n"/>
      <c r="R39" s="17" t="n">
        <v>1000</v>
      </c>
      <c r="S39" s="17" t="n">
        <v>1000</v>
      </c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">
        <f>F39+SUM(G39:Q39)-SUM(R39:AC39)</f>
        <v/>
      </c>
    </row>
    <row r="40">
      <c r="C40" s="15" t="inlineStr">
        <is>
          <t>29</t>
        </is>
      </c>
      <c r="D40" s="92" t="n">
        <v>1672</v>
      </c>
      <c r="E40" s="45" t="inlineStr">
        <is>
          <t>MORREL AKINYI</t>
        </is>
      </c>
      <c r="F40" s="16" t="n">
        <v>4100</v>
      </c>
      <c r="G40" s="98" t="n">
        <v>2200</v>
      </c>
      <c r="H40" s="99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1">
        <f>F40+SUM(G40:Q40)-SUM(R40:AC40)</f>
        <v/>
      </c>
    </row>
    <row r="41">
      <c r="C41" s="15" t="inlineStr">
        <is>
          <t>30</t>
        </is>
      </c>
      <c r="D41" s="92" t="inlineStr">
        <is>
          <t>1676</t>
        </is>
      </c>
      <c r="E41" s="45" t="inlineStr">
        <is>
          <t>CYNTHIA WEKESA</t>
        </is>
      </c>
      <c r="F41" s="16" t="n">
        <v>3050</v>
      </c>
      <c r="G41" s="96" t="n">
        <v>2200</v>
      </c>
      <c r="H41" s="99" t="n"/>
      <c r="I41" s="99" t="n"/>
      <c r="J41" s="99" t="n"/>
      <c r="K41" s="99" t="n"/>
      <c r="L41" s="97" t="n"/>
      <c r="M41" s="110" t="n"/>
      <c r="N41" s="110" t="n"/>
      <c r="O41" s="110" t="n"/>
      <c r="P41" s="110" t="n"/>
      <c r="Q41" s="110" t="n"/>
      <c r="R41" s="17" t="n"/>
      <c r="S41" s="17" t="n"/>
      <c r="T41" s="17" t="n"/>
      <c r="U41" s="17" t="n"/>
      <c r="V41" s="17" t="n"/>
      <c r="W41" s="17" t="n">
        <v>200</v>
      </c>
      <c r="X41" s="17" t="n"/>
      <c r="Y41" s="17" t="n"/>
      <c r="Z41" s="17" t="n"/>
      <c r="AA41" s="17" t="n"/>
      <c r="AB41" s="17" t="n"/>
      <c r="AC41" s="17" t="n"/>
      <c r="AD41" s="1">
        <f>F41+SUM(G41:Q41)-SUM(R41:AC41)</f>
        <v/>
      </c>
    </row>
    <row r="42">
      <c r="C42" s="15" t="inlineStr">
        <is>
          <t>31</t>
        </is>
      </c>
      <c r="D42" s="92" t="inlineStr">
        <is>
          <t>1677</t>
        </is>
      </c>
      <c r="E42" s="54" t="inlineStr">
        <is>
          <t>VIVIAN JEBET</t>
        </is>
      </c>
      <c r="F42" s="16" t="n">
        <v>2100</v>
      </c>
      <c r="G42" s="96" t="n">
        <v>2200</v>
      </c>
      <c r="H42" s="99" t="n"/>
      <c r="I42" s="99" t="n"/>
      <c r="J42" s="99" t="n"/>
      <c r="K42" s="99" t="n"/>
      <c r="L42" s="97" t="n"/>
      <c r="M42" s="110" t="n"/>
      <c r="N42" s="110" t="n"/>
      <c r="O42" s="110" t="n"/>
      <c r="P42" s="110" t="n"/>
      <c r="Q42" s="110" t="n"/>
      <c r="R42" s="17" t="n"/>
      <c r="S42" s="17" t="n"/>
      <c r="T42" s="17" t="n"/>
      <c r="U42" s="17" t="n"/>
      <c r="V42" s="17" t="n"/>
      <c r="W42" s="17" t="n"/>
      <c r="X42" s="17" t="n">
        <v>500</v>
      </c>
      <c r="Y42" s="17" t="n"/>
      <c r="Z42" s="17" t="n"/>
      <c r="AA42" s="17" t="n"/>
      <c r="AB42" s="17" t="n"/>
      <c r="AC42" s="17" t="n"/>
      <c r="AD42" s="1">
        <f>F42+SUM(G42:Q42)-SUM(R42:AC42)</f>
        <v/>
      </c>
    </row>
    <row r="43">
      <c r="C43" s="15" t="inlineStr">
        <is>
          <t>32</t>
        </is>
      </c>
      <c r="D43" s="92" t="n">
        <v>1680</v>
      </c>
      <c r="E43" s="92" t="inlineStr">
        <is>
          <t>JONNEL ASINA</t>
        </is>
      </c>
      <c r="F43" s="16" t="n">
        <v>4200</v>
      </c>
      <c r="G43" s="96" t="n">
        <v>2200</v>
      </c>
      <c r="H43" s="99" t="n"/>
      <c r="I43" s="99" t="n"/>
      <c r="J43" s="99" t="n"/>
      <c r="K43" s="99" t="n"/>
      <c r="L43" s="97" t="n"/>
      <c r="M43" s="110" t="n"/>
      <c r="N43" s="110" t="n"/>
      <c r="O43" s="110" t="n"/>
      <c r="P43" s="110" t="n"/>
      <c r="Q43" s="110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">
        <f>F43+SUM(G43:N43)-SUM(R43:AC43)</f>
        <v/>
      </c>
    </row>
    <row r="44">
      <c r="C44" s="15" t="inlineStr">
        <is>
          <t>33</t>
        </is>
      </c>
      <c r="D44" s="92" t="n">
        <v>1681</v>
      </c>
      <c r="E44" s="92" t="inlineStr">
        <is>
          <t>EMMECULATE AWUOR</t>
        </is>
      </c>
      <c r="F44" s="16" t="n">
        <v>4200</v>
      </c>
      <c r="G44" s="96" t="n">
        <v>2200</v>
      </c>
      <c r="H44" s="99" t="n"/>
      <c r="I44" s="99" t="n"/>
      <c r="J44" s="99" t="n"/>
      <c r="K44" s="99" t="n"/>
      <c r="L44" s="97" t="n"/>
      <c r="M44" s="110" t="n"/>
      <c r="N44" s="110" t="n"/>
      <c r="O44" s="110" t="n"/>
      <c r="P44" s="110" t="n"/>
      <c r="Q44" s="110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">
        <f>F44+SUM(G44:Q44)-SUM(R44:AC44)</f>
        <v/>
      </c>
    </row>
    <row r="45">
      <c r="C45" s="15" t="inlineStr">
        <is>
          <t>34</t>
        </is>
      </c>
      <c r="D45" s="92" t="n">
        <v>1683</v>
      </c>
      <c r="E45" s="92" t="inlineStr">
        <is>
          <t>LUCY ANYANGO</t>
        </is>
      </c>
      <c r="F45" s="16" t="n">
        <v>3100</v>
      </c>
      <c r="G45" s="98" t="n">
        <v>2200</v>
      </c>
      <c r="H45" s="99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">
        <f>F45+SUM(G45:Q45)-SUM(R45:AC45)</f>
        <v/>
      </c>
    </row>
    <row r="46">
      <c r="C46" s="15" t="inlineStr">
        <is>
          <t>35</t>
        </is>
      </c>
      <c r="D46" s="92" t="n">
        <v>1684</v>
      </c>
      <c r="E46" s="45" t="inlineStr">
        <is>
          <t>PURITY AKINYI</t>
        </is>
      </c>
      <c r="F46" s="16" t="n"/>
      <c r="G46" s="98" t="n">
        <v>2200</v>
      </c>
      <c r="H46" s="99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0">
        <f>F46+SUM(G46:Q46)-SUM(R46:AC46)</f>
        <v/>
      </c>
    </row>
    <row r="47">
      <c r="C47" s="15" t="inlineStr">
        <is>
          <t>36</t>
        </is>
      </c>
      <c r="D47" s="92" t="n">
        <v>1686</v>
      </c>
      <c r="E47" s="92" t="inlineStr">
        <is>
          <t>TRIZER ATIENO</t>
        </is>
      </c>
      <c r="F47" s="16" t="n">
        <v>2800</v>
      </c>
      <c r="G47" s="96" t="n">
        <v>2200</v>
      </c>
      <c r="H47" s="99" t="n"/>
      <c r="I47" s="99" t="n"/>
      <c r="J47" s="99" t="n"/>
      <c r="K47" s="99" t="n"/>
      <c r="L47" s="97" t="n"/>
      <c r="M47" s="110" t="n"/>
      <c r="N47" s="110" t="n"/>
      <c r="O47" s="110" t="n"/>
      <c r="P47" s="110" t="n"/>
      <c r="Q47" s="110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">
        <f>F47+SUM(G47:Q47)-SUM(R47:AC47)</f>
        <v/>
      </c>
    </row>
    <row r="48">
      <c r="C48" s="15" t="inlineStr">
        <is>
          <t>37</t>
        </is>
      </c>
      <c r="D48" s="92" t="n">
        <v>1687</v>
      </c>
      <c r="E48" s="45" t="inlineStr">
        <is>
          <t>MAUREEN OUMA</t>
        </is>
      </c>
      <c r="F48" s="16" t="n">
        <v>3800</v>
      </c>
      <c r="G48" s="96" t="n">
        <v>2200</v>
      </c>
      <c r="H48" s="99" t="n"/>
      <c r="I48" s="99" t="n"/>
      <c r="J48" s="99" t="n"/>
      <c r="K48" s="99" t="n"/>
      <c r="L48" s="97" t="n"/>
      <c r="M48" s="110" t="n"/>
      <c r="N48" s="110" t="n"/>
      <c r="O48" s="110" t="n"/>
      <c r="P48" s="110" t="n"/>
      <c r="Q48" s="110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">
        <f>F48+SUM(G48:Q48)-SUM(R48:AC48)</f>
        <v/>
      </c>
    </row>
    <row r="49">
      <c r="C49" s="15" t="inlineStr">
        <is>
          <t>38</t>
        </is>
      </c>
      <c r="D49" s="92" t="n">
        <v>1691</v>
      </c>
      <c r="E49" s="45" t="inlineStr">
        <is>
          <t>WHITNEY OCCHIENG</t>
        </is>
      </c>
      <c r="F49" s="16" t="n">
        <v>3800</v>
      </c>
      <c r="G49" s="96" t="n">
        <v>2200</v>
      </c>
      <c r="H49" s="99" t="n"/>
      <c r="I49" s="99" t="n"/>
      <c r="J49" s="99" t="n"/>
      <c r="K49" s="99" t="n"/>
      <c r="L49" s="97" t="n"/>
      <c r="M49" s="110" t="n"/>
      <c r="N49" s="110" t="n"/>
      <c r="O49" s="110" t="n"/>
      <c r="P49" s="110" t="n"/>
      <c r="Q49" s="110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">
        <f>F49+SUM(G49:Q49)-SUM(R49:AC49)</f>
        <v/>
      </c>
    </row>
    <row r="50">
      <c r="C50" s="15" t="inlineStr">
        <is>
          <t>39</t>
        </is>
      </c>
      <c r="D50" s="92" t="n">
        <v>1692</v>
      </c>
      <c r="E50" s="45" t="inlineStr">
        <is>
          <t>SAUMU AWINO</t>
        </is>
      </c>
      <c r="F50" s="16" t="n">
        <v>3600</v>
      </c>
      <c r="G50" s="96" t="n">
        <v>2200</v>
      </c>
      <c r="H50" s="99" t="n"/>
      <c r="I50" s="99" t="n"/>
      <c r="J50" s="99" t="n"/>
      <c r="K50" s="99" t="n"/>
      <c r="L50" s="97" t="n"/>
      <c r="M50" s="110" t="n"/>
      <c r="N50" s="110" t="n"/>
      <c r="O50" s="110" t="n"/>
      <c r="P50" s="110" t="n"/>
      <c r="Q50" s="110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">
        <f>F50+SUM(G50:Q50)-SUM(R50:AC50)</f>
        <v/>
      </c>
    </row>
    <row r="51">
      <c r="C51" s="15" t="inlineStr">
        <is>
          <t>40</t>
        </is>
      </c>
      <c r="D51" s="92" t="n">
        <v>1694</v>
      </c>
      <c r="E51" s="92" t="inlineStr">
        <is>
          <t>MARYANE ACHIENG</t>
        </is>
      </c>
      <c r="F51" s="16" t="n">
        <v>4000</v>
      </c>
      <c r="G51" s="96" t="n">
        <v>2200</v>
      </c>
      <c r="H51" s="99" t="n"/>
      <c r="I51" s="99" t="n"/>
      <c r="J51" s="99" t="n"/>
      <c r="K51" s="99" t="n"/>
      <c r="L51" s="97" t="n"/>
      <c r="M51" s="110" t="n"/>
      <c r="N51" s="110" t="n"/>
      <c r="O51" s="110" t="n"/>
      <c r="P51" s="110" t="n"/>
      <c r="Q51" s="110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">
        <f>F51+SUM(G51:Q51)-SUM(R51:AC51)</f>
        <v/>
      </c>
    </row>
    <row r="52">
      <c r="C52" s="15" t="inlineStr">
        <is>
          <t>41</t>
        </is>
      </c>
      <c r="D52" s="92" t="n">
        <v>1697</v>
      </c>
      <c r="E52" s="92" t="inlineStr">
        <is>
          <t>VIVIAN AOKO</t>
        </is>
      </c>
      <c r="F52" s="16" t="n">
        <v>1900</v>
      </c>
      <c r="G52" s="98" t="n">
        <v>2200</v>
      </c>
      <c r="H52" s="99" t="n"/>
      <c r="I52" s="99" t="n"/>
      <c r="J52" s="99" t="n"/>
      <c r="K52" s="99" t="n"/>
      <c r="L52" s="99" t="n"/>
      <c r="M52" s="99" t="n"/>
      <c r="N52" s="99" t="n"/>
      <c r="O52" s="99" t="n"/>
      <c r="P52" s="99" t="n"/>
      <c r="Q52" s="9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">
        <f>F52+SUM(G52:Q52)-SUM(R52:AC52)</f>
        <v/>
      </c>
    </row>
    <row r="53">
      <c r="C53" s="15" t="inlineStr">
        <is>
          <t>42</t>
        </is>
      </c>
      <c r="D53" s="92" t="n">
        <v>1703</v>
      </c>
      <c r="E53" s="45" t="inlineStr">
        <is>
          <t>VANESSA AWINO</t>
        </is>
      </c>
      <c r="F53" s="16" t="n">
        <v>2200</v>
      </c>
      <c r="G53" s="96" t="n">
        <v>2200</v>
      </c>
      <c r="H53" s="99" t="n"/>
      <c r="I53" s="99" t="n"/>
      <c r="J53" s="99" t="n"/>
      <c r="K53" s="99" t="n"/>
      <c r="L53" s="97" t="n"/>
      <c r="M53" s="110" t="n"/>
      <c r="N53" s="110" t="n"/>
      <c r="O53" s="110" t="n"/>
      <c r="P53" s="110" t="n"/>
      <c r="Q53" s="110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">
        <f>F53+SUM(G53:Q53)-SUM(R53:AC53)</f>
        <v/>
      </c>
    </row>
    <row r="54">
      <c r="C54" s="15" t="inlineStr">
        <is>
          <t>43</t>
        </is>
      </c>
      <c r="D54" s="92" t="inlineStr">
        <is>
          <t>1773</t>
        </is>
      </c>
      <c r="E54" s="23" t="inlineStr">
        <is>
          <t>VERONICA ANINDO</t>
        </is>
      </c>
      <c r="F54" s="16" t="n">
        <v>700</v>
      </c>
      <c r="G54" s="96" t="n">
        <v>2200</v>
      </c>
      <c r="H54" s="99" t="n"/>
      <c r="I54" s="99" t="n"/>
      <c r="J54" s="99" t="n"/>
      <c r="K54" s="99" t="n"/>
      <c r="L54" s="97" t="n"/>
      <c r="M54" s="110" t="n"/>
      <c r="N54" s="110" t="n"/>
      <c r="O54" s="110" t="n"/>
      <c r="P54" s="110" t="n"/>
      <c r="Q54" s="110" t="n"/>
      <c r="R54" s="17" t="n"/>
      <c r="S54" s="17" t="n"/>
      <c r="T54" s="17" t="n"/>
      <c r="U54" s="20" t="n"/>
      <c r="V54" s="17" t="n"/>
      <c r="W54" s="20" t="n"/>
      <c r="X54" s="20" t="n">
        <v>2900</v>
      </c>
      <c r="Y54" s="20" t="n"/>
      <c r="Z54" s="63" t="n"/>
      <c r="AA54" s="20" t="n"/>
      <c r="AB54" s="20" t="n"/>
      <c r="AC54" s="20" t="n"/>
      <c r="AD54" s="11">
        <f>F54+SUM(G54:Q54)-SUM(R54:AC54)</f>
        <v/>
      </c>
    </row>
    <row r="55">
      <c r="C55" s="15" t="inlineStr">
        <is>
          <t>44</t>
        </is>
      </c>
      <c r="D55" s="92" t="inlineStr">
        <is>
          <t>1806</t>
        </is>
      </c>
      <c r="E55" s="92" t="inlineStr">
        <is>
          <t>IDA  AKINYI</t>
        </is>
      </c>
      <c r="F55" s="16" t="n">
        <v>0</v>
      </c>
      <c r="G55" s="96" t="n">
        <v>2200</v>
      </c>
      <c r="H55" s="99" t="n"/>
      <c r="I55" s="99" t="n"/>
      <c r="J55" s="99" t="n"/>
      <c r="K55" s="99" t="n"/>
      <c r="L55" s="97" t="n"/>
      <c r="M55" s="110" t="n"/>
      <c r="N55" s="110" t="n"/>
      <c r="O55" s="110" t="n"/>
      <c r="P55" s="110" t="n"/>
      <c r="Q55" s="110" t="n"/>
      <c r="R55" s="17" t="n"/>
      <c r="S55" s="17" t="n"/>
      <c r="T55" s="17" t="n"/>
      <c r="U55" s="20" t="n"/>
      <c r="V55" s="17" t="n"/>
      <c r="W55" s="20" t="n">
        <v>1600</v>
      </c>
      <c r="X55" s="20" t="n"/>
      <c r="Y55" s="20" t="n"/>
      <c r="Z55" s="20" t="n"/>
      <c r="AA55" s="20" t="n"/>
      <c r="AB55" s="20" t="n"/>
      <c r="AC55" s="20" t="n"/>
      <c r="AD55" s="11">
        <f>F55+SUM(G55:Q55)-SUM(R55:AC55)</f>
        <v/>
      </c>
    </row>
    <row r="56">
      <c r="C56" s="15" t="inlineStr">
        <is>
          <t>45</t>
        </is>
      </c>
      <c r="D56" s="92" t="n">
        <v>1811</v>
      </c>
      <c r="E56" s="92" t="inlineStr">
        <is>
          <t>FLORENCE ODHIAMBO</t>
        </is>
      </c>
      <c r="F56" s="16" t="n">
        <v>2900</v>
      </c>
      <c r="G56" s="96" t="n">
        <v>2200</v>
      </c>
      <c r="H56" s="99" t="n"/>
      <c r="I56" s="99" t="n"/>
      <c r="J56" s="99" t="n"/>
      <c r="K56" s="99" t="n"/>
      <c r="L56" s="97" t="n"/>
      <c r="M56" s="110" t="n"/>
      <c r="N56" s="110" t="n"/>
      <c r="O56" s="110" t="n"/>
      <c r="P56" s="110" t="n"/>
      <c r="Q56" s="110" t="n"/>
      <c r="R56" s="17" t="n"/>
      <c r="S56" s="17" t="n"/>
      <c r="T56" s="17" t="n"/>
      <c r="U56" s="20" t="n"/>
      <c r="V56" s="17" t="n"/>
      <c r="W56" s="20" t="n"/>
      <c r="X56" s="20" t="n"/>
      <c r="Y56" s="20" t="n"/>
      <c r="Z56" s="20" t="n"/>
      <c r="AA56" s="20" t="n"/>
      <c r="AB56" s="20" t="n"/>
      <c r="AC56" s="20" t="n"/>
      <c r="AD56" s="11">
        <f>F56+SUM(G56:Q56)-SUM(R56:AC56)</f>
        <v/>
      </c>
    </row>
    <row r="57">
      <c r="C57" s="15" t="inlineStr">
        <is>
          <t>46</t>
        </is>
      </c>
      <c r="D57" s="92" t="inlineStr">
        <is>
          <t>1814</t>
        </is>
      </c>
      <c r="E57" s="92" t="inlineStr">
        <is>
          <t>SHEILA AKOTH</t>
        </is>
      </c>
      <c r="F57" s="16" t="n">
        <v>2700</v>
      </c>
      <c r="G57" s="96" t="n">
        <v>2200</v>
      </c>
      <c r="H57" s="99" t="n"/>
      <c r="I57" s="99" t="n"/>
      <c r="J57" s="99" t="n"/>
      <c r="K57" s="99" t="n"/>
      <c r="L57" s="97" t="n"/>
      <c r="M57" s="110" t="n"/>
      <c r="N57" s="110" t="n"/>
      <c r="O57" s="110" t="n"/>
      <c r="P57" s="110" t="n"/>
      <c r="Q57" s="110" t="n"/>
      <c r="R57" s="17" t="n"/>
      <c r="S57" s="17" t="n"/>
      <c r="T57" s="17" t="n"/>
      <c r="U57" s="20" t="n"/>
      <c r="V57" s="20" t="n"/>
      <c r="W57" s="20" t="n">
        <v>300</v>
      </c>
      <c r="X57" s="20" t="n"/>
      <c r="Y57" s="20" t="n"/>
      <c r="Z57" s="20" t="n"/>
      <c r="AA57" s="20" t="n"/>
      <c r="AB57" s="20" t="n"/>
      <c r="AC57" s="20" t="n"/>
      <c r="AD57" s="11">
        <f>F57+SUM(G57:Q57)-SUM(R57:AC57)</f>
        <v/>
      </c>
    </row>
    <row r="58">
      <c r="C58" s="15" t="inlineStr">
        <is>
          <t>47</t>
        </is>
      </c>
      <c r="D58" s="92" t="inlineStr">
        <is>
          <t>1816</t>
        </is>
      </c>
      <c r="E58" s="92" t="inlineStr">
        <is>
          <t>MELVIN AWINO</t>
        </is>
      </c>
      <c r="F58" s="16" t="n">
        <v>2400</v>
      </c>
      <c r="G58" s="96" t="n">
        <v>2200</v>
      </c>
      <c r="H58" s="99" t="n"/>
      <c r="I58" s="99" t="n"/>
      <c r="J58" s="99" t="n"/>
      <c r="K58" s="99" t="n"/>
      <c r="L58" s="97" t="n"/>
      <c r="M58" s="110" t="n"/>
      <c r="N58" s="110" t="n"/>
      <c r="O58" s="110" t="n"/>
      <c r="P58" s="110" t="n"/>
      <c r="Q58" s="110" t="n"/>
      <c r="R58" s="17" t="n"/>
      <c r="S58" s="17" t="n"/>
      <c r="T58" s="17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11">
        <f>F58+SUM(G58:Q58)-SUM(R58:AC58)</f>
        <v/>
      </c>
    </row>
    <row r="59">
      <c r="C59" s="15" t="inlineStr">
        <is>
          <t>49</t>
        </is>
      </c>
      <c r="D59" s="92" t="n">
        <v>1832</v>
      </c>
      <c r="E59" s="45" t="inlineStr">
        <is>
          <t>BENTER ANYANGO</t>
        </is>
      </c>
      <c r="F59" s="16" t="n">
        <v>1500</v>
      </c>
      <c r="G59" s="96" t="n">
        <v>2200</v>
      </c>
      <c r="H59" s="99" t="n"/>
      <c r="I59" s="99" t="n"/>
      <c r="J59" s="99" t="n"/>
      <c r="K59" s="99" t="n"/>
      <c r="L59" s="97" t="n"/>
      <c r="M59" s="110" t="n"/>
      <c r="N59" s="110" t="n"/>
      <c r="O59" s="110" t="n"/>
      <c r="P59" s="110" t="n"/>
      <c r="Q59" s="110" t="n"/>
      <c r="R59" s="17" t="n"/>
      <c r="S59" s="17" t="n"/>
      <c r="T59" s="17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11">
        <f>F59+SUM(G59:Q59)-SUM(R59:AC59)</f>
        <v/>
      </c>
    </row>
    <row r="60">
      <c r="C60" s="15" t="inlineStr">
        <is>
          <t>50</t>
        </is>
      </c>
      <c r="D60" s="92" t="inlineStr">
        <is>
          <t>1835</t>
        </is>
      </c>
      <c r="E60" s="45" t="inlineStr">
        <is>
          <t>HAIRIA AKUMU</t>
        </is>
      </c>
      <c r="F60" s="16" t="n">
        <v>1400</v>
      </c>
      <c r="G60" s="96" t="n">
        <v>2200</v>
      </c>
      <c r="H60" s="99" t="n"/>
      <c r="I60" s="99" t="n"/>
      <c r="J60" s="99" t="n"/>
      <c r="K60" s="99" t="n"/>
      <c r="L60" s="97" t="n"/>
      <c r="M60" s="110" t="n"/>
      <c r="N60" s="110" t="n"/>
      <c r="O60" s="110" t="n"/>
      <c r="P60" s="110" t="n"/>
      <c r="Q60" s="110" t="n"/>
      <c r="R60" s="17" t="n">
        <v>700</v>
      </c>
      <c r="S60" s="17" t="n">
        <v>1000</v>
      </c>
      <c r="T60" s="17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11">
        <f>F60+SUM(G60:Q60)-SUM(R60:AC60)</f>
        <v/>
      </c>
    </row>
    <row r="61">
      <c r="C61" s="15" t="inlineStr">
        <is>
          <t>51</t>
        </is>
      </c>
      <c r="D61" s="92" t="n">
        <v>1847</v>
      </c>
      <c r="E61" s="45" t="inlineStr">
        <is>
          <t>STACY AUMA</t>
        </is>
      </c>
      <c r="F61" s="16" t="n">
        <v>1400</v>
      </c>
      <c r="G61" s="96" t="n">
        <v>2200</v>
      </c>
      <c r="H61" s="99" t="n"/>
      <c r="I61" s="99" t="n"/>
      <c r="J61" s="99" t="n"/>
      <c r="K61" s="99" t="n"/>
      <c r="L61" s="97" t="n"/>
      <c r="M61" s="110" t="n"/>
      <c r="N61" s="110" t="n"/>
      <c r="O61" s="110" t="n"/>
      <c r="P61" s="110" t="n"/>
      <c r="Q61" s="110" t="n"/>
      <c r="R61" s="17" t="n"/>
      <c r="S61" s="17" t="n"/>
      <c r="T61" s="17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11">
        <f>F561+SUM(G61:Q61)-SUM(R61:AC61)</f>
        <v/>
      </c>
    </row>
    <row r="62">
      <c r="C62" s="15" t="inlineStr">
        <is>
          <t>52</t>
        </is>
      </c>
      <c r="D62" s="92" t="inlineStr">
        <is>
          <t>1849</t>
        </is>
      </c>
      <c r="E62" s="45" t="inlineStr">
        <is>
          <t>MACRINE AUMA</t>
        </is>
      </c>
      <c r="F62" s="16" t="n">
        <v>1400</v>
      </c>
      <c r="G62" s="96" t="n">
        <v>2200</v>
      </c>
      <c r="H62" s="99" t="n"/>
      <c r="I62" s="99" t="n"/>
      <c r="J62" s="99" t="n"/>
      <c r="K62" s="99" t="n"/>
      <c r="L62" s="97" t="n"/>
      <c r="M62" s="110" t="n"/>
      <c r="N62" s="110" t="n"/>
      <c r="O62" s="110" t="n"/>
      <c r="P62" s="110" t="n"/>
      <c r="Q62" s="110" t="n"/>
      <c r="R62" s="17" t="n">
        <v>800</v>
      </c>
      <c r="S62" s="17" t="n">
        <v>1400</v>
      </c>
      <c r="T62" s="17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11">
        <f>F62+SUM(G62:Q62)-SUM(R62:AC62)</f>
        <v/>
      </c>
    </row>
    <row r="63">
      <c r="C63" s="15" t="inlineStr">
        <is>
          <t>53</t>
        </is>
      </c>
      <c r="D63" s="92" t="inlineStr">
        <is>
          <t>1850</t>
        </is>
      </c>
      <c r="E63" s="45" t="inlineStr">
        <is>
          <t>SHARON WESONGA</t>
        </is>
      </c>
      <c r="F63" s="16" t="n">
        <v>1400</v>
      </c>
      <c r="G63" s="96" t="n">
        <v>2200</v>
      </c>
      <c r="H63" s="99" t="n"/>
      <c r="I63" s="99" t="n"/>
      <c r="J63" s="99" t="n"/>
      <c r="K63" s="99" t="n"/>
      <c r="L63" s="97" t="n"/>
      <c r="M63" s="110" t="n"/>
      <c r="N63" s="110" t="n"/>
      <c r="O63" s="110" t="n"/>
      <c r="P63" s="110" t="n"/>
      <c r="Q63" s="110" t="n"/>
      <c r="R63" s="17" t="n"/>
      <c r="S63" s="17" t="n"/>
      <c r="T63" s="17" t="n"/>
      <c r="U63" s="20" t="n"/>
      <c r="V63" s="20" t="n"/>
      <c r="W63" s="20" t="n"/>
      <c r="X63" s="20" t="n">
        <v>700</v>
      </c>
      <c r="Y63" s="20" t="n"/>
      <c r="Z63" s="20" t="n"/>
      <c r="AA63" s="20" t="n"/>
      <c r="AB63" s="20" t="n"/>
      <c r="AC63" s="20" t="n"/>
      <c r="AD63" s="11">
        <f>F63+SUM(G63:Q63)-SUM(R63:AC63)</f>
        <v/>
      </c>
    </row>
    <row r="64">
      <c r="C64" s="15" t="inlineStr">
        <is>
          <t>55</t>
        </is>
      </c>
      <c r="D64" s="92" t="inlineStr">
        <is>
          <t>1852</t>
        </is>
      </c>
      <c r="E64" s="45" t="inlineStr">
        <is>
          <t>MONICA OUMA</t>
        </is>
      </c>
      <c r="F64" s="16" t="n">
        <v>1400</v>
      </c>
      <c r="G64" s="96" t="n">
        <v>2200</v>
      </c>
      <c r="H64" s="99" t="n"/>
      <c r="I64" s="99" t="n"/>
      <c r="J64" s="99" t="n"/>
      <c r="K64" s="99" t="n"/>
      <c r="L64" s="97" t="n"/>
      <c r="M64" s="110" t="n"/>
      <c r="N64" s="110" t="n"/>
      <c r="O64" s="110" t="n"/>
      <c r="P64" s="110" t="n"/>
      <c r="Q64" s="110" t="n"/>
      <c r="R64" s="17" t="n"/>
      <c r="S64" s="17" t="n"/>
      <c r="T64" s="17" t="n"/>
      <c r="U64" s="20" t="n"/>
      <c r="V64" s="20" t="n"/>
      <c r="W64" s="20" t="n">
        <v>200</v>
      </c>
      <c r="X64" s="20" t="n"/>
      <c r="Y64" s="20" t="n"/>
      <c r="Z64" s="20" t="n"/>
      <c r="AA64" s="20" t="n"/>
      <c r="AB64" s="20" t="n"/>
      <c r="AC64" s="20" t="n"/>
      <c r="AD64" s="11">
        <f>F64+SUM(G64:Q64)-SUM(R64:AC64)</f>
        <v/>
      </c>
    </row>
    <row r="65">
      <c r="C65" s="15" t="n"/>
      <c r="D65" s="92" t="inlineStr">
        <is>
          <t>1853</t>
        </is>
      </c>
      <c r="E65" s="45" t="inlineStr">
        <is>
          <t>CYNTHIA ANYANGO</t>
        </is>
      </c>
      <c r="F65" s="16" t="n">
        <v>1400</v>
      </c>
      <c r="G65" s="96" t="n">
        <v>2200</v>
      </c>
      <c r="H65" s="99" t="n"/>
      <c r="I65" s="99" t="n"/>
      <c r="J65" s="99" t="n"/>
      <c r="K65" s="99" t="n"/>
      <c r="L65" s="97" t="n"/>
      <c r="M65" s="110" t="n"/>
      <c r="N65" s="110" t="n"/>
      <c r="O65" s="110" t="n"/>
      <c r="P65" s="110" t="n"/>
      <c r="Q65" s="110" t="n"/>
      <c r="R65" s="17" t="n"/>
      <c r="S65" s="17" t="n"/>
      <c r="T65" s="20" t="n"/>
      <c r="U65" s="20" t="n"/>
      <c r="V65" s="20" t="n"/>
      <c r="W65" s="20" t="n">
        <v>800</v>
      </c>
      <c r="X65" s="20" t="n"/>
      <c r="Y65" s="20" t="n"/>
      <c r="Z65" s="20" t="n"/>
      <c r="AA65" s="20" t="n"/>
      <c r="AB65" s="20" t="n"/>
      <c r="AC65" s="20" t="n"/>
      <c r="AD65" s="11">
        <f>F65+SUM(G65:Q65)-SUM(R65:AC65)</f>
        <v/>
      </c>
    </row>
    <row r="66">
      <c r="C66" s="15" t="inlineStr">
        <is>
          <t>56</t>
        </is>
      </c>
      <c r="D66" s="92" t="n">
        <v>1929</v>
      </c>
      <c r="E66" s="45" t="inlineStr">
        <is>
          <t>WINNIE  AKINYI</t>
        </is>
      </c>
      <c r="F66" s="19" t="n">
        <v>0</v>
      </c>
      <c r="G66" s="96" t="n">
        <v>2200</v>
      </c>
      <c r="H66" s="99" t="n"/>
      <c r="I66" s="99" t="n"/>
      <c r="J66" s="99" t="n"/>
      <c r="K66" s="99" t="n"/>
      <c r="L66" s="97" t="n"/>
      <c r="M66" s="110" t="n"/>
      <c r="N66" s="110" t="n"/>
      <c r="O66" s="110" t="n"/>
      <c r="P66" s="110" t="n"/>
      <c r="Q66" s="110" t="n"/>
      <c r="R66" s="17" t="n"/>
      <c r="S66" s="20" t="n"/>
      <c r="T66" s="20" t="n"/>
      <c r="U66" s="20" t="n"/>
      <c r="V66" s="20" t="n"/>
      <c r="W66" s="20" t="n"/>
      <c r="X66" s="20" t="n">
        <v>1200</v>
      </c>
      <c r="Y66" s="20" t="n"/>
      <c r="Z66" s="20" t="n"/>
      <c r="AA66" s="20" t="n"/>
      <c r="AB66" s="20" t="n"/>
      <c r="AC66" s="20" t="n"/>
      <c r="AD66" s="11">
        <f>F66+SUM(G66:Q66)-SUM(R66:AC66)</f>
        <v/>
      </c>
    </row>
    <row r="67" ht="14.25" customHeight="1" s="101" thickBot="1">
      <c r="C67" s="21" t="n"/>
      <c r="D67" s="21" t="n"/>
      <c r="E67" s="22" t="inlineStr">
        <is>
          <t>TOTAL</t>
        </is>
      </c>
      <c r="F67" s="7">
        <f>SUM(F37:F66)</f>
        <v/>
      </c>
      <c r="G67" s="8">
        <f>SUM(G37:G66)</f>
        <v/>
      </c>
      <c r="H67" s="8">
        <f>SUM(H37:H50)</f>
        <v/>
      </c>
      <c r="I67" s="8">
        <f>SUM(I37:I50)</f>
        <v/>
      </c>
      <c r="J67" s="8">
        <f>SUM(J37:J50)</f>
        <v/>
      </c>
      <c r="K67" s="8">
        <f>SUM(K37:K50)</f>
        <v/>
      </c>
      <c r="L67" s="8">
        <f>SUM(L37:L50)</f>
        <v/>
      </c>
      <c r="M67" s="8">
        <f>SUM(M37:M50)</f>
        <v/>
      </c>
      <c r="N67" s="8">
        <f>SUM(N37:N50)</f>
        <v/>
      </c>
      <c r="O67" s="8">
        <f>SUM(O37:O50)</f>
        <v/>
      </c>
      <c r="P67" s="8">
        <f>SUM(P37:P50)</f>
        <v/>
      </c>
      <c r="Q67" s="8">
        <f>SUM(Q37:Q50)</f>
        <v/>
      </c>
      <c r="R67" s="8">
        <f>SUM(R37:R66)</f>
        <v/>
      </c>
      <c r="S67" s="8">
        <f>SUM(S37:S66)</f>
        <v/>
      </c>
      <c r="T67" s="8">
        <f>SUM(T37:T66)</f>
        <v/>
      </c>
      <c r="U67" s="8">
        <f>SUM(U37:U50)</f>
        <v/>
      </c>
      <c r="V67" s="8">
        <f>SUM(V37:V66)</f>
        <v/>
      </c>
      <c r="W67" s="8">
        <f>SUM(W37:W66)</f>
        <v/>
      </c>
      <c r="X67" s="8">
        <f>SUM(X37:X66)</f>
        <v/>
      </c>
      <c r="Y67" s="8">
        <f>SUM(Y37:Y66)</f>
        <v/>
      </c>
      <c r="Z67" s="8">
        <f>SUM(Z37:Z66)</f>
        <v/>
      </c>
      <c r="AA67" s="8">
        <f>SUM(AA37:AA66)</f>
        <v/>
      </c>
      <c r="AB67" s="8">
        <f>SUM(AB37:AB66)</f>
        <v/>
      </c>
      <c r="AC67" s="8">
        <f>SUM(AC37:AC66)</f>
        <v/>
      </c>
      <c r="AD67" s="9">
        <f>SUM(AD37:AD66)</f>
        <v/>
      </c>
    </row>
    <row r="68" ht="24" customHeight="1" s="101">
      <c r="C68" s="33" t="n"/>
      <c r="D68" s="33" t="n"/>
      <c r="E68" s="34" t="inlineStr">
        <is>
          <t>TOTAL COLLECTION 2026 (4A)</t>
        </is>
      </c>
      <c r="F68" s="30">
        <f>SUM(R67,S67,T67,U67,V67,W67,X67,Y67,Z67,AA67,AB67,AC67)+G68</f>
        <v/>
      </c>
      <c r="G68" s="31" t="n">
        <v>3000</v>
      </c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2" t="n"/>
    </row>
    <row r="69">
      <c r="C69" s="33" t="n"/>
      <c r="D69" s="33" t="n"/>
      <c r="E69" s="34" t="n"/>
      <c r="F69" s="30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2" t="n"/>
    </row>
    <row r="70">
      <c r="C70" s="33" t="n"/>
      <c r="D70" s="33" t="n"/>
      <c r="E70" s="34" t="n"/>
      <c r="F70" s="30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2" t="n"/>
    </row>
    <row r="71" ht="18" customHeight="1" s="101">
      <c r="C71" s="100" t="inlineStr">
        <is>
          <t>KIREMBE SECONDARY SCHOOL.</t>
        </is>
      </c>
    </row>
    <row r="72">
      <c r="C72" s="108" t="inlineStr">
        <is>
          <t>FEE REGISTER(LUNCH)2026   FORM 4 C</t>
        </is>
      </c>
      <c r="G72" s="14" t="n"/>
      <c r="R72" s="14" t="inlineStr">
        <is>
          <t>1ST TERM</t>
        </is>
      </c>
      <c r="W72" s="14" t="inlineStr">
        <is>
          <t>2ND TERM</t>
        </is>
      </c>
      <c r="X72" s="14" t="n"/>
      <c r="Z72" s="14" t="inlineStr">
        <is>
          <t>3RD TERM</t>
        </is>
      </c>
    </row>
    <row r="73">
      <c r="C73" s="36" t="inlineStr">
        <is>
          <t>NO.</t>
        </is>
      </c>
      <c r="D73" s="85" t="inlineStr">
        <is>
          <t>ADM</t>
        </is>
      </c>
      <c r="E73" t="inlineStr">
        <is>
          <t>NAME</t>
        </is>
      </c>
      <c r="G73" s="103" t="inlineStr">
        <is>
          <t>DEBT</t>
        </is>
      </c>
      <c r="R73" s="104" t="inlineStr">
        <is>
          <t>REPAYMENT</t>
        </is>
      </c>
    </row>
    <row r="74">
      <c r="C74" s="12" t="n"/>
      <c r="D74" s="12" t="n"/>
      <c r="E74" s="13" t="n"/>
      <c r="F74" s="13" t="inlineStr">
        <is>
          <t>ARREAS</t>
        </is>
      </c>
      <c r="G74" s="105" t="n">
        <v>2026</v>
      </c>
      <c r="H74" s="106" t="n"/>
      <c r="I74" s="106" t="n"/>
      <c r="J74" s="106" t="n"/>
      <c r="K74" s="106" t="n"/>
      <c r="L74" s="106" t="n"/>
      <c r="M74" s="106" t="n"/>
      <c r="N74" s="106" t="n"/>
      <c r="O74" s="106" t="n"/>
      <c r="P74" s="106" t="n"/>
      <c r="Q74" s="106" t="n"/>
      <c r="R74" s="13" t="inlineStr">
        <is>
          <t>JAN</t>
        </is>
      </c>
      <c r="S74" s="13" t="inlineStr">
        <is>
          <t>FEB</t>
        </is>
      </c>
      <c r="T74" s="13" t="inlineStr">
        <is>
          <t>MAR</t>
        </is>
      </c>
      <c r="U74" s="13" t="inlineStr">
        <is>
          <t>APR</t>
        </is>
      </c>
      <c r="V74" s="13" t="inlineStr">
        <is>
          <t>MAY</t>
        </is>
      </c>
      <c r="W74" s="13" t="inlineStr">
        <is>
          <t>JUN</t>
        </is>
      </c>
      <c r="X74" s="13" t="inlineStr">
        <is>
          <t>JUL</t>
        </is>
      </c>
      <c r="Y74" s="13" t="inlineStr">
        <is>
          <t>AUG</t>
        </is>
      </c>
      <c r="Z74" s="13" t="inlineStr">
        <is>
          <t>SEP</t>
        </is>
      </c>
      <c r="AA74" s="13" t="inlineStr">
        <is>
          <t>OCT</t>
        </is>
      </c>
      <c r="AB74" s="13" t="inlineStr">
        <is>
          <t>NOV</t>
        </is>
      </c>
      <c r="AC74" s="13" t="inlineStr">
        <is>
          <t>PRE PAID</t>
        </is>
      </c>
      <c r="AD74" s="13" t="inlineStr">
        <is>
          <t>BALANCE</t>
        </is>
      </c>
    </row>
    <row r="75">
      <c r="C75" s="15" t="n"/>
      <c r="D75" s="56" t="n"/>
      <c r="E75" s="24" t="inlineStr">
        <is>
          <t>BALANCE B/D</t>
        </is>
      </c>
      <c r="F75" s="16">
        <f>F67</f>
        <v/>
      </c>
      <c r="G75" s="98">
        <f>G67</f>
        <v/>
      </c>
      <c r="H75" s="99" t="n"/>
      <c r="I75" s="99" t="n"/>
      <c r="J75" s="99" t="n"/>
      <c r="K75" s="99" t="n"/>
      <c r="L75" s="99" t="n"/>
      <c r="M75" s="99" t="n"/>
      <c r="N75" s="99" t="n"/>
      <c r="O75" s="99" t="n"/>
      <c r="P75" s="99" t="n"/>
      <c r="Q75" s="97" t="n"/>
      <c r="R75" s="17">
        <f>R67</f>
        <v/>
      </c>
      <c r="S75" s="17">
        <f>S67</f>
        <v/>
      </c>
      <c r="T75" s="17">
        <f>T75</f>
        <v/>
      </c>
      <c r="U75" s="17">
        <f>U75</f>
        <v/>
      </c>
      <c r="V75" s="17">
        <f>V75</f>
        <v/>
      </c>
      <c r="W75" s="17">
        <f>W75</f>
        <v/>
      </c>
      <c r="X75" s="17">
        <f>X75</f>
        <v/>
      </c>
      <c r="Y75" s="17">
        <f>Y75</f>
        <v/>
      </c>
      <c r="Z75" s="17">
        <f>Z75</f>
        <v/>
      </c>
      <c r="AA75" s="17" t="n"/>
      <c r="AB75" s="17">
        <f>AB75</f>
        <v/>
      </c>
      <c r="AC75" s="17">
        <f>AC67</f>
        <v/>
      </c>
      <c r="AD75" s="1">
        <f>AD67</f>
        <v/>
      </c>
    </row>
    <row r="76">
      <c r="C76" s="15" t="inlineStr">
        <is>
          <t>1</t>
        </is>
      </c>
      <c r="D76" s="44" t="n">
        <v>1606</v>
      </c>
      <c r="E76" s="44" t="inlineStr">
        <is>
          <t>KEVIN OUMA</t>
        </is>
      </c>
      <c r="F76" s="16" t="n">
        <v>3700</v>
      </c>
      <c r="G76" s="98" t="n">
        <v>2200</v>
      </c>
      <c r="H76" s="99" t="n"/>
      <c r="I76" s="99" t="n"/>
      <c r="J76" s="99" t="n"/>
      <c r="K76" s="99" t="n"/>
      <c r="L76" s="99" t="n"/>
      <c r="M76" s="99" t="n"/>
      <c r="N76" s="99" t="n"/>
      <c r="O76" s="99" t="n"/>
      <c r="P76" s="99" t="n"/>
      <c r="Q76" s="97" t="n"/>
      <c r="R76" s="17" t="n"/>
      <c r="S76" s="17" t="n"/>
      <c r="T76" s="17" t="n"/>
      <c r="U76" s="17" t="n"/>
      <c r="V76" s="69" t="n"/>
      <c r="W76" s="17" t="n"/>
      <c r="X76" s="17" t="n"/>
      <c r="Y76" s="17" t="n"/>
      <c r="Z76" s="17" t="n"/>
      <c r="AA76" s="17" t="n"/>
      <c r="AB76" s="17" t="n"/>
      <c r="AC76" s="17" t="n"/>
      <c r="AD76" s="1">
        <f>F76+SUM(G76:Q76)-SUM(R76:AC76)</f>
        <v/>
      </c>
    </row>
    <row r="77">
      <c r="C77" s="15" t="inlineStr">
        <is>
          <t>2</t>
        </is>
      </c>
      <c r="D77" s="92" t="n">
        <v>1611</v>
      </c>
      <c r="E77" s="92" t="inlineStr">
        <is>
          <t>RICHARD OTIENO</t>
        </is>
      </c>
      <c r="F77" s="16" t="n">
        <v>3000</v>
      </c>
      <c r="G77" s="110" t="n">
        <v>2200</v>
      </c>
      <c r="H77" s="99" t="n"/>
      <c r="I77" s="99" t="n"/>
      <c r="J77" s="99" t="n"/>
      <c r="K77" s="99" t="n"/>
      <c r="L77" s="97" t="n"/>
      <c r="M77" s="110" t="n"/>
      <c r="N77" s="110" t="n"/>
      <c r="O77" s="110" t="n"/>
      <c r="P77" s="110" t="n"/>
      <c r="Q77" s="110" t="n"/>
      <c r="R77" s="17" t="n"/>
      <c r="S77" s="17" t="n"/>
      <c r="T77" s="17" t="n">
        <v>1000</v>
      </c>
      <c r="U77" s="17" t="n"/>
      <c r="V77" s="17" t="n"/>
      <c r="W77" s="17" t="n"/>
      <c r="X77" s="69" t="n"/>
      <c r="Y77" s="17" t="n"/>
      <c r="Z77" s="17" t="n"/>
      <c r="AA77" s="17" t="n"/>
      <c r="AB77" s="17" t="n"/>
      <c r="AC77" s="17" t="n"/>
      <c r="AD77" s="1">
        <f>F77+SUM(G77:Q77)-SUM(R77:AC77)</f>
        <v/>
      </c>
    </row>
    <row r="78">
      <c r="C78" s="15" t="inlineStr">
        <is>
          <t>3</t>
        </is>
      </c>
      <c r="D78" s="92" t="n">
        <v>1617</v>
      </c>
      <c r="E78" s="45" t="inlineStr">
        <is>
          <t>KENEDY OWITI</t>
        </is>
      </c>
      <c r="F78" s="73" t="n">
        <v>3900</v>
      </c>
      <c r="G78" s="96" t="n">
        <v>2200</v>
      </c>
      <c r="H78" s="99" t="n"/>
      <c r="I78" s="99" t="n"/>
      <c r="J78" s="99" t="n"/>
      <c r="K78" s="99" t="n"/>
      <c r="L78" s="97" t="n"/>
      <c r="M78" s="110" t="n"/>
      <c r="N78" s="110" t="n"/>
      <c r="O78" s="110" t="n"/>
      <c r="P78" s="110" t="n"/>
      <c r="Q78" s="110" t="n"/>
      <c r="R78" s="17" t="n"/>
      <c r="S78" s="17" t="n"/>
      <c r="T78" s="42" t="n"/>
      <c r="U78" s="42" t="n"/>
      <c r="V78" s="42" t="n"/>
      <c r="W78" s="69" t="n"/>
      <c r="X78" s="42" t="n"/>
      <c r="Y78" s="42" t="n"/>
      <c r="Z78" s="64" t="n"/>
      <c r="AA78" s="42" t="n"/>
      <c r="AB78" s="42" t="n"/>
      <c r="AC78" s="42" t="n"/>
      <c r="AD78" s="43">
        <f>F78+SUM(G78:Q78)-SUM(R78:AC78)</f>
        <v/>
      </c>
    </row>
    <row r="79">
      <c r="C79" s="15" t="inlineStr">
        <is>
          <t>4</t>
        </is>
      </c>
      <c r="D79" s="54" t="n">
        <v>1620</v>
      </c>
      <c r="E79" s="54" t="inlineStr">
        <is>
          <t>ROJAS ODANYA</t>
        </is>
      </c>
      <c r="F79" s="73" t="n">
        <v>4200</v>
      </c>
      <c r="G79" s="96" t="n">
        <v>2200</v>
      </c>
      <c r="H79" s="99" t="n"/>
      <c r="I79" s="99" t="n"/>
      <c r="J79" s="99" t="n"/>
      <c r="K79" s="99" t="n"/>
      <c r="L79" s="97" t="n"/>
      <c r="M79" s="110" t="n"/>
      <c r="N79" s="110" t="n"/>
      <c r="O79" s="110" t="n"/>
      <c r="P79" s="110" t="n"/>
      <c r="Q79" s="110" t="n"/>
      <c r="R79" s="17" t="n"/>
      <c r="S79" s="17" t="n"/>
      <c r="T79" s="42" t="n"/>
      <c r="U79" s="42" t="n"/>
      <c r="V79" s="42" t="n"/>
      <c r="W79" s="70" t="n"/>
      <c r="X79" s="69" t="n"/>
      <c r="Y79" s="42" t="n"/>
      <c r="Z79" s="42" t="n"/>
      <c r="AA79" s="42" t="n"/>
      <c r="AB79" s="42" t="n"/>
      <c r="AC79" s="42" t="n"/>
      <c r="AD79" s="43">
        <f>F79+SUM(G79:Q79)-SUM(R79:AC79)</f>
        <v/>
      </c>
    </row>
    <row r="80">
      <c r="C80" s="15" t="inlineStr">
        <is>
          <t>5</t>
        </is>
      </c>
      <c r="D80" s="92" t="n">
        <v>1624</v>
      </c>
      <c r="E80" s="92" t="inlineStr">
        <is>
          <t>PHILIP ODHIAMBO</t>
        </is>
      </c>
      <c r="F80" s="73" t="n">
        <v>2800</v>
      </c>
      <c r="G80" s="96" t="n">
        <v>2200</v>
      </c>
      <c r="H80" s="99" t="n"/>
      <c r="I80" s="99" t="n"/>
      <c r="J80" s="99" t="n"/>
      <c r="K80" s="99" t="n"/>
      <c r="L80" s="97" t="n"/>
      <c r="M80" s="110" t="n"/>
      <c r="N80" s="110" t="n"/>
      <c r="O80" s="110" t="n"/>
      <c r="P80" s="110" t="n"/>
      <c r="Q80" s="110" t="n"/>
      <c r="R80" s="17" t="n"/>
      <c r="S80" s="17" t="n"/>
      <c r="T80" s="42" t="n"/>
      <c r="U80" s="42" t="n"/>
      <c r="V80" s="42" t="n"/>
      <c r="W80" s="42" t="n"/>
      <c r="X80" s="69" t="n"/>
      <c r="Y80" s="42" t="n"/>
      <c r="Z80" s="42" t="n"/>
      <c r="AA80" s="42" t="n"/>
      <c r="AB80" s="42" t="n"/>
      <c r="AC80" s="42" t="n"/>
      <c r="AD80" s="43">
        <f>F80+SUM(G80:Q80)-SUM(R80:AC80)</f>
        <v/>
      </c>
    </row>
    <row r="81">
      <c r="C81" s="15" t="inlineStr">
        <is>
          <t>6</t>
        </is>
      </c>
      <c r="D81" s="92" t="n">
        <v>1625</v>
      </c>
      <c r="E81" s="92" t="inlineStr">
        <is>
          <t>BRIAN  ODHIAMBO</t>
        </is>
      </c>
      <c r="F81" s="73" t="n">
        <v>3200</v>
      </c>
      <c r="G81" s="98" t="n">
        <v>2200</v>
      </c>
      <c r="H81" s="99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7" t="n"/>
      <c r="R81" s="17" t="n"/>
      <c r="S81" s="17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3">
        <f>F81+SUM(G81:Q81)-SUM(R81:AC81)</f>
        <v/>
      </c>
    </row>
    <row r="82">
      <c r="C82" s="15" t="inlineStr">
        <is>
          <t>7</t>
        </is>
      </c>
      <c r="D82" s="92" t="n">
        <v>1627</v>
      </c>
      <c r="E82" s="45" t="inlineStr">
        <is>
          <t>VINCENT ODHIAMBO</t>
        </is>
      </c>
      <c r="F82" s="73" t="n">
        <v>4000</v>
      </c>
      <c r="G82" s="98" t="n">
        <v>2200</v>
      </c>
      <c r="H82" s="99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7" t="n"/>
      <c r="R82" s="17" t="n"/>
      <c r="S82" s="17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3">
        <f>F82+SUM(G82:Q82)-SUM(R82:AC82)</f>
        <v/>
      </c>
    </row>
    <row r="83">
      <c r="C83" s="15" t="inlineStr">
        <is>
          <t>8</t>
        </is>
      </c>
      <c r="D83" s="92" t="n">
        <v>1630</v>
      </c>
      <c r="E83" s="54" t="inlineStr">
        <is>
          <t>JOHN OTIENO</t>
        </is>
      </c>
      <c r="F83" s="73" t="n">
        <v>1300</v>
      </c>
      <c r="G83" s="96" t="n">
        <v>2200</v>
      </c>
      <c r="H83" s="99" t="n"/>
      <c r="I83" s="99" t="n"/>
      <c r="J83" s="99" t="n"/>
      <c r="K83" s="99" t="n"/>
      <c r="L83" s="97" t="n"/>
      <c r="M83" s="110" t="n"/>
      <c r="N83" s="110" t="n"/>
      <c r="O83" s="110" t="n"/>
      <c r="P83" s="110" t="n"/>
      <c r="Q83" s="110" t="n"/>
      <c r="R83" s="17" t="n"/>
      <c r="S83" s="17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3">
        <f>F83+SUM(G83:Q83)-SUM(R83:AC83)</f>
        <v/>
      </c>
    </row>
    <row r="84">
      <c r="C84" s="15" t="inlineStr">
        <is>
          <t>9</t>
        </is>
      </c>
      <c r="D84" s="92" t="n">
        <v>1634</v>
      </c>
      <c r="E84" s="92" t="inlineStr">
        <is>
          <t>FELIX ODUOR</t>
        </is>
      </c>
      <c r="F84" s="73" t="n">
        <v>4200</v>
      </c>
      <c r="G84" s="96" t="n">
        <v>2200</v>
      </c>
      <c r="H84" s="99" t="n"/>
      <c r="I84" s="99" t="n"/>
      <c r="J84" s="99" t="n"/>
      <c r="K84" s="99" t="n"/>
      <c r="L84" s="97" t="n"/>
      <c r="M84" s="110" t="n"/>
      <c r="N84" s="110" t="n"/>
      <c r="O84" s="110" t="n"/>
      <c r="P84" s="110" t="n"/>
      <c r="Q84" s="110" t="n"/>
      <c r="R84" s="17" t="n"/>
      <c r="S84" s="17" t="n"/>
      <c r="T84" s="42" t="n"/>
      <c r="U84" s="64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3">
        <f>F84+SUM(G84:Q84)-SUM(R84:AC84)</f>
        <v/>
      </c>
    </row>
    <row r="85">
      <c r="C85" s="15" t="inlineStr">
        <is>
          <t>10</t>
        </is>
      </c>
      <c r="D85" s="92" t="n">
        <v>1635</v>
      </c>
      <c r="E85" s="54" t="inlineStr">
        <is>
          <t>CALVINCE  ODUOR</t>
        </is>
      </c>
      <c r="F85" s="73" t="n">
        <v>1300</v>
      </c>
      <c r="G85" s="96" t="n">
        <v>2200</v>
      </c>
      <c r="H85" s="99" t="n"/>
      <c r="I85" s="99" t="n"/>
      <c r="J85" s="99" t="n"/>
      <c r="K85" s="99" t="n"/>
      <c r="L85" s="97" t="n"/>
      <c r="M85" s="110" t="n"/>
      <c r="N85" s="110" t="n"/>
      <c r="O85" s="110" t="n"/>
      <c r="P85" s="110" t="n"/>
      <c r="Q85" s="110" t="n"/>
      <c r="R85" s="17" t="n"/>
      <c r="S85" s="17" t="n"/>
      <c r="T85" s="42" t="n">
        <v>500</v>
      </c>
      <c r="U85" s="64" t="n"/>
      <c r="V85" s="53" t="n"/>
      <c r="W85" s="42" t="n"/>
      <c r="X85" s="42" t="n"/>
      <c r="Y85" s="42" t="n"/>
      <c r="Z85" s="42" t="n"/>
      <c r="AA85" s="42" t="n"/>
      <c r="AB85" s="42" t="n"/>
      <c r="AC85" s="42" t="n"/>
      <c r="AD85" s="43">
        <f>F85+SUM(G85:Q85)-SUM(R85:AC85)</f>
        <v/>
      </c>
    </row>
    <row r="86">
      <c r="C86" s="15" t="inlineStr">
        <is>
          <t>11</t>
        </is>
      </c>
      <c r="D86" s="92" t="n">
        <v>1637</v>
      </c>
      <c r="E86" s="92" t="inlineStr">
        <is>
          <t>HILARY OTIENO</t>
        </is>
      </c>
      <c r="F86" s="73" t="n">
        <v>2400</v>
      </c>
      <c r="G86" s="96" t="n">
        <v>2200</v>
      </c>
      <c r="H86" s="99" t="n"/>
      <c r="I86" s="99" t="n"/>
      <c r="J86" s="99" t="n"/>
      <c r="K86" s="99" t="n"/>
      <c r="L86" s="97" t="n"/>
      <c r="M86" s="110" t="n"/>
      <c r="N86" s="110" t="n"/>
      <c r="O86" s="110" t="n"/>
      <c r="P86" s="110" t="n"/>
      <c r="Q86" s="110" t="n"/>
      <c r="R86" s="17" t="n"/>
      <c r="S86" s="17" t="n"/>
      <c r="T86" s="42" t="n"/>
      <c r="U86" s="64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3">
        <f>F86+SUM(G86:N86)-SUM(R86:AC86)</f>
        <v/>
      </c>
    </row>
    <row r="87">
      <c r="C87" s="15" t="inlineStr">
        <is>
          <t>12</t>
        </is>
      </c>
      <c r="D87" s="92" t="n">
        <v>1638</v>
      </c>
      <c r="E87" s="92" t="inlineStr">
        <is>
          <t>TRULY BRANDY</t>
        </is>
      </c>
      <c r="F87" s="73" t="n">
        <v>3600</v>
      </c>
      <c r="G87" s="98" t="n">
        <v>2200</v>
      </c>
      <c r="H87" s="99" t="n"/>
      <c r="I87" s="99" t="n"/>
      <c r="J87" s="99" t="n"/>
      <c r="K87" s="99" t="n"/>
      <c r="L87" s="99" t="n"/>
      <c r="M87" s="99" t="n"/>
      <c r="N87" s="99" t="n"/>
      <c r="O87" s="99" t="n"/>
      <c r="P87" s="99" t="n"/>
      <c r="Q87" s="97" t="n"/>
      <c r="R87" s="17" t="n"/>
      <c r="S87" s="17" t="n"/>
      <c r="T87" s="17" t="n"/>
      <c r="U87" s="64" t="n"/>
      <c r="V87" s="17" t="n"/>
      <c r="W87" s="17" t="n"/>
      <c r="X87" s="17" t="n"/>
      <c r="Y87" s="42" t="n"/>
      <c r="Z87" s="17" t="n"/>
      <c r="AA87" s="17" t="n"/>
      <c r="AB87" s="17" t="n"/>
      <c r="AC87" s="17" t="n"/>
      <c r="AD87" s="1">
        <f>F87+SUM(G87:Q87)-SUM(R87:AC87)</f>
        <v/>
      </c>
    </row>
    <row r="88">
      <c r="C88" s="15" t="inlineStr">
        <is>
          <t xml:space="preserve">  0</t>
        </is>
      </c>
      <c r="D88" s="92" t="n">
        <v>1639</v>
      </c>
      <c r="E88" s="92" t="inlineStr">
        <is>
          <t>MOSES OTIENO</t>
        </is>
      </c>
      <c r="F88" s="73" t="n">
        <v>4200</v>
      </c>
      <c r="G88" s="98" t="n">
        <v>2200</v>
      </c>
      <c r="H88" s="99" t="n"/>
      <c r="I88" s="99" t="n"/>
      <c r="J88" s="99" t="n"/>
      <c r="K88" s="99" t="n"/>
      <c r="L88" s="99" t="n"/>
      <c r="M88" s="99" t="n"/>
      <c r="N88" s="99" t="n"/>
      <c r="O88" s="99" t="n"/>
      <c r="P88" s="99" t="n"/>
      <c r="Q88" s="9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">
        <f>F88+SUM(G88:Q88)-SUM(R88:AC88)</f>
        <v/>
      </c>
    </row>
    <row r="89">
      <c r="C89" s="15" t="inlineStr">
        <is>
          <t>14</t>
        </is>
      </c>
      <c r="D89" s="92" t="n">
        <v>1640</v>
      </c>
      <c r="E89" s="92" t="inlineStr">
        <is>
          <t>BRIAN OKOTH</t>
        </is>
      </c>
      <c r="F89" s="73" t="n">
        <v>2800</v>
      </c>
      <c r="G89" s="96" t="n">
        <v>2200</v>
      </c>
      <c r="H89" s="99" t="n"/>
      <c r="I89" s="99" t="n"/>
      <c r="J89" s="99" t="n"/>
      <c r="K89" s="99" t="n"/>
      <c r="L89" s="97" t="n"/>
      <c r="M89" s="110" t="n"/>
      <c r="N89" s="110" t="n"/>
      <c r="O89" s="110" t="n"/>
      <c r="P89" s="110" t="n"/>
      <c r="Q89" s="110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0">
        <f>F89+SUM(G89:Q89)-SUM(R89:AC89)</f>
        <v/>
      </c>
    </row>
    <row r="90">
      <c r="C90" s="15" t="inlineStr">
        <is>
          <t>15</t>
        </is>
      </c>
      <c r="D90" s="44" t="n">
        <v>1645</v>
      </c>
      <c r="E90" s="38" t="inlineStr">
        <is>
          <t>NEWTONE ONYANGO</t>
        </is>
      </c>
      <c r="F90" s="73" t="n">
        <v>1700</v>
      </c>
      <c r="G90" s="96" t="n">
        <v>2200</v>
      </c>
      <c r="H90" s="99" t="n"/>
      <c r="I90" s="99" t="n"/>
      <c r="J90" s="99" t="n"/>
      <c r="K90" s="99" t="n"/>
      <c r="L90" s="97" t="n"/>
      <c r="M90" s="110" t="n"/>
      <c r="N90" s="110" t="n"/>
      <c r="O90" s="110" t="n"/>
      <c r="P90" s="110" t="n"/>
      <c r="Q90" s="110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">
        <f>F90+SUM(G90:Q90)-SUM(R90:AC90)</f>
        <v/>
      </c>
    </row>
    <row r="91">
      <c r="C91" s="15" t="inlineStr">
        <is>
          <t>16</t>
        </is>
      </c>
      <c r="D91" s="92" t="n">
        <v>1647</v>
      </c>
      <c r="E91" s="92" t="inlineStr">
        <is>
          <t>FIDEL CASTRO</t>
        </is>
      </c>
      <c r="F91" s="73" t="n">
        <v>4200</v>
      </c>
      <c r="G91" s="96" t="n">
        <v>2200</v>
      </c>
      <c r="H91" s="99" t="n"/>
      <c r="I91" s="99" t="n"/>
      <c r="J91" s="99" t="n"/>
      <c r="K91" s="99" t="n"/>
      <c r="L91" s="97" t="n"/>
      <c r="M91" s="110" t="n"/>
      <c r="N91" s="110" t="n"/>
      <c r="O91" s="110" t="n"/>
      <c r="P91" s="110" t="n"/>
      <c r="Q91" s="110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">
        <f>F91+SUM(G91:Q91)-SUM(R91:AC91)</f>
        <v/>
      </c>
    </row>
    <row r="92">
      <c r="C92" s="15" t="inlineStr">
        <is>
          <t>17</t>
        </is>
      </c>
      <c r="D92" s="92" t="n">
        <v>1651</v>
      </c>
      <c r="E92" s="92" t="inlineStr">
        <is>
          <t>JOSEPH OMONDI</t>
        </is>
      </c>
      <c r="F92" s="73" t="n">
        <v>2600</v>
      </c>
      <c r="G92" s="96" t="n">
        <v>2200</v>
      </c>
      <c r="H92" s="99" t="n"/>
      <c r="I92" s="99" t="n"/>
      <c r="J92" s="99" t="n"/>
      <c r="K92" s="99" t="n"/>
      <c r="L92" s="97" t="n"/>
      <c r="M92" s="110" t="n"/>
      <c r="N92" s="110" t="n"/>
      <c r="O92" s="110" t="n"/>
      <c r="P92" s="110" t="n"/>
      <c r="Q92" s="110" t="n"/>
      <c r="R92" s="17" t="n"/>
      <c r="S92" s="17" t="n"/>
      <c r="T92" s="17" t="n">
        <v>600</v>
      </c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">
        <f>F92+SUM(G92:Q92)-SUM(R92:AC92)</f>
        <v/>
      </c>
    </row>
    <row r="93">
      <c r="C93" s="15" t="inlineStr">
        <is>
          <t>19</t>
        </is>
      </c>
      <c r="D93" s="92" t="inlineStr">
        <is>
          <t>1653</t>
        </is>
      </c>
      <c r="E93" s="92" t="inlineStr">
        <is>
          <t>MAURICE OUMA</t>
        </is>
      </c>
      <c r="F93" s="73" t="n">
        <v>2200</v>
      </c>
      <c r="G93" s="96" t="n">
        <v>2200</v>
      </c>
      <c r="H93" s="99" t="n"/>
      <c r="I93" s="99" t="n"/>
      <c r="J93" s="99" t="n"/>
      <c r="K93" s="99" t="n"/>
      <c r="L93" s="97" t="n"/>
      <c r="M93" s="110" t="n"/>
      <c r="N93" s="110" t="n"/>
      <c r="O93" s="110" t="n"/>
      <c r="P93" s="110" t="n"/>
      <c r="Q93" s="110" t="n"/>
      <c r="R93" s="17" t="n"/>
      <c r="S93" s="17" t="n"/>
      <c r="T93" s="17" t="n"/>
      <c r="U93" s="20" t="n"/>
      <c r="V93" s="17" t="n"/>
      <c r="W93" s="17" t="n"/>
      <c r="X93" s="17" t="n">
        <v>1000</v>
      </c>
      <c r="Y93" s="20" t="n"/>
      <c r="Z93" s="17" t="n"/>
      <c r="AA93" s="17" t="n"/>
      <c r="AB93" s="17" t="n"/>
      <c r="AC93" s="17" t="n"/>
      <c r="AD93" s="1">
        <f>F93+SUM(G93:Q93)-SUM(R93:AC93)</f>
        <v/>
      </c>
    </row>
    <row r="94">
      <c r="C94" s="15" t="inlineStr">
        <is>
          <t>20</t>
        </is>
      </c>
      <c r="D94" s="92" t="n">
        <v>1658</v>
      </c>
      <c r="E94" s="54" t="inlineStr">
        <is>
          <t>EMMANUEL OTIENO</t>
        </is>
      </c>
      <c r="F94" s="73" t="n">
        <v>3100</v>
      </c>
      <c r="G94" s="98" t="n">
        <v>2200</v>
      </c>
      <c r="H94" s="99" t="n"/>
      <c r="I94" s="99" t="n"/>
      <c r="J94" s="99" t="n"/>
      <c r="K94" s="99" t="n"/>
      <c r="L94" s="99" t="n"/>
      <c r="M94" s="99" t="n"/>
      <c r="N94" s="99" t="n"/>
      <c r="O94" s="99" t="n"/>
      <c r="P94" s="99" t="n"/>
      <c r="Q94" s="9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">
        <f>F94+SUM(G94:Q94)-SUM(R94:AC94)</f>
        <v/>
      </c>
    </row>
    <row r="95">
      <c r="C95" s="15" t="inlineStr">
        <is>
          <t>21</t>
        </is>
      </c>
      <c r="D95" s="92" t="n">
        <v>1664</v>
      </c>
      <c r="E95" s="92" t="inlineStr">
        <is>
          <t>FELIX OKELO</t>
        </is>
      </c>
      <c r="F95" s="73" t="n">
        <v>4200</v>
      </c>
      <c r="G95" s="98" t="n">
        <v>2200</v>
      </c>
      <c r="H95" s="99" t="n"/>
      <c r="I95" s="99" t="n"/>
      <c r="J95" s="99" t="n"/>
      <c r="K95" s="99" t="n"/>
      <c r="L95" s="99" t="n"/>
      <c r="M95" s="99" t="n"/>
      <c r="N95" s="99" t="n"/>
      <c r="O95" s="99" t="n"/>
      <c r="P95" s="99" t="n"/>
      <c r="Q95" s="9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">
        <f>F95+SUM(G95:Q95)-SUM(R95:AC95)</f>
        <v/>
      </c>
    </row>
    <row r="96">
      <c r="C96" s="15" t="inlineStr">
        <is>
          <t>22</t>
        </is>
      </c>
      <c r="D96" s="92" t="n">
        <v>1669</v>
      </c>
      <c r="E96" s="92" t="inlineStr">
        <is>
          <t>BENJAMIN ONYANGO</t>
        </is>
      </c>
      <c r="F96" s="73" t="n">
        <v>3800</v>
      </c>
      <c r="G96" s="96" t="n">
        <v>2200</v>
      </c>
      <c r="H96" s="99" t="n"/>
      <c r="I96" s="99" t="n"/>
      <c r="J96" s="99" t="n"/>
      <c r="K96" s="99" t="n"/>
      <c r="L96" s="97" t="n"/>
      <c r="M96" s="110" t="n"/>
      <c r="N96" s="110" t="n"/>
      <c r="O96" s="110" t="n"/>
      <c r="P96" s="110" t="n"/>
      <c r="Q96" s="110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">
        <f>F96+SUM(G96:Q96)-SUM(R96:AC96)</f>
        <v/>
      </c>
    </row>
    <row r="97">
      <c r="C97" s="15" t="inlineStr">
        <is>
          <t>22</t>
        </is>
      </c>
      <c r="D97" s="92" t="n">
        <v>1673</v>
      </c>
      <c r="E97" s="92" t="inlineStr">
        <is>
          <t>HILTON IMALI</t>
        </is>
      </c>
      <c r="F97" s="73" t="n">
        <v>2900</v>
      </c>
      <c r="G97" s="96" t="n">
        <v>2200</v>
      </c>
      <c r="H97" s="99" t="n"/>
      <c r="I97" s="99" t="n"/>
      <c r="J97" s="99" t="n"/>
      <c r="K97" s="99" t="n"/>
      <c r="L97" s="97" t="n"/>
      <c r="M97" s="110" t="n"/>
      <c r="N97" s="110" t="n"/>
      <c r="O97" s="110" t="n"/>
      <c r="P97" s="110" t="n"/>
      <c r="Q97" s="110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">
        <f>F97+SUM(G97:Q97)-SUM(R97:AC97)</f>
        <v/>
      </c>
    </row>
    <row r="98">
      <c r="C98" s="15" t="inlineStr">
        <is>
          <t>23</t>
        </is>
      </c>
      <c r="D98" s="92" t="n">
        <v>1675</v>
      </c>
      <c r="E98" s="92" t="inlineStr">
        <is>
          <t>ELVINCE OCHIENG</t>
        </is>
      </c>
      <c r="F98" s="73" t="n">
        <v>4200</v>
      </c>
      <c r="G98" s="98" t="n">
        <v>2200</v>
      </c>
      <c r="H98" s="99" t="n"/>
      <c r="I98" s="99" t="n"/>
      <c r="J98" s="99" t="n"/>
      <c r="K98" s="99" t="n"/>
      <c r="L98" s="99" t="n"/>
      <c r="M98" s="99" t="n"/>
      <c r="N98" s="99" t="n"/>
      <c r="O98" s="99" t="n"/>
      <c r="P98" s="99" t="n"/>
      <c r="Q98" s="9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">
        <f>F98+SUM(G98:Q98)-SUM(R98:AC98)</f>
        <v/>
      </c>
    </row>
    <row r="99">
      <c r="C99" s="15" t="inlineStr">
        <is>
          <t>24</t>
        </is>
      </c>
      <c r="D99" s="92" t="n">
        <v>1678</v>
      </c>
      <c r="E99" s="92" t="inlineStr">
        <is>
          <t>SHADRACK OUMA</t>
        </is>
      </c>
      <c r="F99" s="73" t="n">
        <v>4100</v>
      </c>
      <c r="G99" s="98" t="n">
        <v>2200</v>
      </c>
      <c r="H99" s="99" t="n"/>
      <c r="I99" s="99" t="n"/>
      <c r="J99" s="99" t="n"/>
      <c r="K99" s="99" t="n"/>
      <c r="L99" s="99" t="n"/>
      <c r="M99" s="99" t="n"/>
      <c r="N99" s="99" t="n"/>
      <c r="O99" s="99" t="n"/>
      <c r="P99" s="99" t="n"/>
      <c r="Q99" s="9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">
        <f>F99+SUM(G99:Q99)-SUM(R99:AC99)</f>
        <v/>
      </c>
    </row>
    <row r="100">
      <c r="C100" s="15" t="inlineStr">
        <is>
          <t>25</t>
        </is>
      </c>
      <c r="D100" s="92" t="n">
        <v>1682</v>
      </c>
      <c r="E100" s="92" t="inlineStr">
        <is>
          <t>GEORGE AWANDO</t>
        </is>
      </c>
      <c r="F100" s="73" t="n">
        <v>3300</v>
      </c>
      <c r="G100" s="96" t="n">
        <v>2200</v>
      </c>
      <c r="H100" s="99" t="n"/>
      <c r="I100" s="99" t="n"/>
      <c r="J100" s="99" t="n"/>
      <c r="K100" s="99" t="n"/>
      <c r="L100" s="97" t="n"/>
      <c r="M100" s="110" t="n"/>
      <c r="N100" s="110" t="n"/>
      <c r="O100" s="110" t="n"/>
      <c r="P100" s="110" t="n"/>
      <c r="Q100" s="110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">
        <f>F100+SUM(G100:Q100)-SUM(R100:AC100)</f>
        <v/>
      </c>
    </row>
    <row r="101">
      <c r="C101" s="15" t="inlineStr">
        <is>
          <t>26</t>
        </is>
      </c>
      <c r="D101" s="92" t="n">
        <v>1688</v>
      </c>
      <c r="E101" s="92" t="inlineStr">
        <is>
          <t>ROLLINGS OCHIENG</t>
        </is>
      </c>
      <c r="F101" s="73" t="n">
        <v>3600</v>
      </c>
      <c r="G101" s="96" t="n">
        <v>2200</v>
      </c>
      <c r="H101" s="99" t="n"/>
      <c r="I101" s="99" t="n"/>
      <c r="J101" s="99" t="n"/>
      <c r="K101" s="99" t="n"/>
      <c r="L101" s="97" t="n"/>
      <c r="M101" s="110" t="n"/>
      <c r="N101" s="110" t="n"/>
      <c r="O101" s="110" t="n"/>
      <c r="P101" s="110" t="n"/>
      <c r="Q101" s="110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">
        <f>F101+SUM(G101:Q101)-SUM(R101:AC101)</f>
        <v/>
      </c>
    </row>
    <row r="102">
      <c r="C102" s="15" t="inlineStr">
        <is>
          <t>27</t>
        </is>
      </c>
      <c r="D102" s="92" t="n">
        <v>1690</v>
      </c>
      <c r="E102" s="92" t="inlineStr">
        <is>
          <t>JEFF ODHIAMBO</t>
        </is>
      </c>
      <c r="F102" s="73" t="n">
        <v>4200</v>
      </c>
      <c r="G102" s="96" t="n">
        <v>2200</v>
      </c>
      <c r="H102" s="99" t="n"/>
      <c r="I102" s="99" t="n"/>
      <c r="J102" s="99" t="n"/>
      <c r="K102" s="99" t="n"/>
      <c r="L102" s="97" t="n"/>
      <c r="M102" s="110" t="n"/>
      <c r="N102" s="110" t="n"/>
      <c r="O102" s="110" t="n"/>
      <c r="P102" s="110" t="n"/>
      <c r="Q102" s="110" t="n"/>
      <c r="R102" s="17" t="n"/>
      <c r="S102" s="42" t="n"/>
      <c r="T102" s="42" t="n"/>
      <c r="U102" s="17" t="n"/>
      <c r="V102" s="42" t="n"/>
      <c r="W102" s="42" t="n"/>
      <c r="X102" s="42" t="n"/>
      <c r="Y102" s="17" t="n"/>
      <c r="Z102" s="42" t="n"/>
      <c r="AA102" s="42" t="n"/>
      <c r="AB102" s="42" t="n"/>
      <c r="AC102" s="42" t="n"/>
      <c r="AD102" s="43">
        <f>F102+SUM(G102:Q102)-SUM(R102:AC102)</f>
        <v/>
      </c>
    </row>
    <row r="103" ht="15.75" customHeight="1" s="101" thickBot="1">
      <c r="C103" s="15" t="n"/>
      <c r="D103" s="5" t="n"/>
      <c r="E103" s="6" t="inlineStr">
        <is>
          <t>TOTAL</t>
        </is>
      </c>
      <c r="F103" s="7">
        <f>SUM(F75:F102)</f>
        <v/>
      </c>
      <c r="G103" s="8">
        <f>SUM(G75:G102)</f>
        <v/>
      </c>
      <c r="H103" s="8">
        <f>SUM(H75:H92)</f>
        <v/>
      </c>
      <c r="I103" s="8">
        <f>SUM(I75:I92)</f>
        <v/>
      </c>
      <c r="J103" s="8">
        <f>SUM(J75:J92)</f>
        <v/>
      </c>
      <c r="K103" s="8">
        <f>SUM(K75:K92)</f>
        <v/>
      </c>
      <c r="L103" s="8">
        <f>SUM(L75:L92)</f>
        <v/>
      </c>
      <c r="M103" s="8">
        <f>SUM(M75:M92)</f>
        <v/>
      </c>
      <c r="N103" s="8">
        <f>SUM(N75:N92)</f>
        <v/>
      </c>
      <c r="O103" s="8">
        <f>SUM(O75:O92)</f>
        <v/>
      </c>
      <c r="P103" s="8">
        <f>SUM(P75:P92)</f>
        <v/>
      </c>
      <c r="Q103" s="8">
        <f>SUM(Q75:Q92)</f>
        <v/>
      </c>
      <c r="R103" s="8">
        <f>SUM(R75:R102)</f>
        <v/>
      </c>
      <c r="S103" s="8">
        <f>SUM(S75:S102)</f>
        <v/>
      </c>
      <c r="T103" s="8">
        <f>SUM(T75:T102)</f>
        <v/>
      </c>
      <c r="U103" s="42">
        <f>SUM(U75:U102)</f>
        <v/>
      </c>
      <c r="V103" s="8">
        <f>SUM(V75:V102)</f>
        <v/>
      </c>
      <c r="W103" s="8">
        <f>SUM(W75:W102)</f>
        <v/>
      </c>
      <c r="X103" s="8">
        <f>SUM(X75:X102)</f>
        <v/>
      </c>
      <c r="Y103" s="42">
        <f>SUM(Y75:Y102)</f>
        <v/>
      </c>
      <c r="Z103" s="8">
        <f>SUM(Z75:Z102)</f>
        <v/>
      </c>
      <c r="AA103" s="8">
        <f>SUM(AA75:AA102)</f>
        <v/>
      </c>
      <c r="AB103" s="8">
        <f>SUM(AB75:AB102)</f>
        <v/>
      </c>
      <c r="AC103" s="8">
        <f>SUM(AC75:AC102)</f>
        <v/>
      </c>
      <c r="AD103" s="9">
        <f>SUM(AD75:AD102)</f>
        <v/>
      </c>
    </row>
    <row r="104">
      <c r="E104" t="inlineStr">
        <is>
          <t>TOTAL COLLECTION 2026 (4C)</t>
        </is>
      </c>
      <c r="F104">
        <f>SUM(R103,S103,T103,U103,V103,W103,X103,Y103,Z103,AA103,AB103,AC103)+G104</f>
        <v/>
      </c>
      <c r="G104" t="n">
        <v>2400</v>
      </c>
      <c r="R104" s="75" t="n"/>
      <c r="U104" s="31" t="n"/>
      <c r="Y104" s="31" t="n"/>
    </row>
    <row r="105" ht="18" customHeight="1" s="101">
      <c r="C105" s="100" t="inlineStr">
        <is>
          <t>KIREMBE SECONDARY SCHOOL.</t>
        </is>
      </c>
    </row>
    <row r="106">
      <c r="C106" s="109" t="inlineStr">
        <is>
          <t>FEE REGISTER(LUNCH)2026 FORM 4 C</t>
        </is>
      </c>
      <c r="G106" s="14" t="n"/>
      <c r="R106" s="14" t="inlineStr">
        <is>
          <t>1ST TERM</t>
        </is>
      </c>
      <c r="W106" s="14" t="inlineStr">
        <is>
          <t>2ND TERM</t>
        </is>
      </c>
      <c r="X106" s="14" t="n"/>
      <c r="Z106" s="14" t="inlineStr">
        <is>
          <t>3RD TERM</t>
        </is>
      </c>
    </row>
    <row r="107">
      <c r="C107" s="36" t="inlineStr">
        <is>
          <t>NO.</t>
        </is>
      </c>
      <c r="D107" s="85" t="inlineStr">
        <is>
          <t>ADM</t>
        </is>
      </c>
      <c r="E107" t="inlineStr">
        <is>
          <t>NAME</t>
        </is>
      </c>
      <c r="G107" s="103" t="inlineStr">
        <is>
          <t>DEBT</t>
        </is>
      </c>
      <c r="R107" s="104" t="inlineStr">
        <is>
          <t>REPAYMENT</t>
        </is>
      </c>
      <c r="S107" s="104" t="n"/>
      <c r="T107" s="104" t="n"/>
      <c r="V107" s="104" t="n"/>
      <c r="W107" s="104" t="n"/>
      <c r="X107" s="104" t="n"/>
      <c r="Z107" s="104" t="n"/>
      <c r="AA107" s="104" t="n"/>
      <c r="AB107" s="104" t="n"/>
      <c r="AC107" s="104" t="n"/>
    </row>
    <row r="108">
      <c r="C108" s="12" t="n"/>
      <c r="D108" s="12" t="n"/>
      <c r="E108" s="13" t="n"/>
      <c r="F108" s="13" t="inlineStr">
        <is>
          <t>ARREAS</t>
        </is>
      </c>
      <c r="G108" s="105" t="n">
        <v>2026</v>
      </c>
      <c r="H108" s="106" t="n"/>
      <c r="I108" s="106" t="n"/>
      <c r="J108" s="106" t="n"/>
      <c r="K108" s="106" t="n"/>
      <c r="L108" s="106" t="n"/>
      <c r="M108" s="106" t="n"/>
      <c r="N108" s="106" t="n"/>
      <c r="O108" s="106" t="n"/>
      <c r="P108" s="106" t="n"/>
      <c r="Q108" s="106" t="n"/>
      <c r="R108" s="13" t="inlineStr">
        <is>
          <t>JAN</t>
        </is>
      </c>
      <c r="S108" s="13" t="inlineStr">
        <is>
          <t>FEB</t>
        </is>
      </c>
      <c r="T108" s="13" t="inlineStr">
        <is>
          <t>MAR</t>
        </is>
      </c>
      <c r="U108" s="104" t="inlineStr">
        <is>
          <t>APR</t>
        </is>
      </c>
      <c r="V108" s="13" t="inlineStr">
        <is>
          <t>MAY</t>
        </is>
      </c>
      <c r="W108" s="13" t="inlineStr">
        <is>
          <t>JUN</t>
        </is>
      </c>
      <c r="X108" s="13" t="inlineStr">
        <is>
          <t>JUL</t>
        </is>
      </c>
      <c r="Y108" s="104" t="inlineStr">
        <is>
          <t>AUG</t>
        </is>
      </c>
      <c r="Z108" s="13" t="inlineStr">
        <is>
          <t>SEP</t>
        </is>
      </c>
      <c r="AA108" s="13" t="inlineStr">
        <is>
          <t>OCT</t>
        </is>
      </c>
      <c r="AB108" s="13" t="inlineStr">
        <is>
          <t>NOV</t>
        </is>
      </c>
      <c r="AC108" s="13" t="inlineStr">
        <is>
          <t>PRE PAID</t>
        </is>
      </c>
      <c r="AD108" s="13" t="inlineStr">
        <is>
          <t>BALANCE</t>
        </is>
      </c>
    </row>
    <row r="109">
      <c r="C109" s="15" t="n"/>
      <c r="D109" s="92" t="n"/>
      <c r="E109" s="24" t="inlineStr">
        <is>
          <t>BALANCE B/D</t>
        </is>
      </c>
      <c r="F109" s="28">
        <f>F103</f>
        <v/>
      </c>
      <c r="G109" s="102">
        <f>G103</f>
        <v/>
      </c>
      <c r="H109" s="99" t="n"/>
      <c r="I109" s="99" t="n"/>
      <c r="J109" s="99" t="n"/>
      <c r="K109" s="99" t="n"/>
      <c r="L109" s="99" t="n"/>
      <c r="M109" s="99" t="n"/>
      <c r="N109" s="99" t="n"/>
      <c r="O109" s="99" t="n"/>
      <c r="P109" s="99" t="n"/>
      <c r="Q109" s="97" t="n"/>
      <c r="R109" s="26">
        <f>R103</f>
        <v/>
      </c>
      <c r="S109" s="26">
        <f>S103</f>
        <v/>
      </c>
      <c r="T109" s="26">
        <f>T103</f>
        <v/>
      </c>
      <c r="U109" s="79">
        <f>U103</f>
        <v/>
      </c>
      <c r="V109" s="26">
        <f>V103</f>
        <v/>
      </c>
      <c r="W109" s="26">
        <f>W103</f>
        <v/>
      </c>
      <c r="X109" s="26">
        <f>X103</f>
        <v/>
      </c>
      <c r="Y109" s="79">
        <f>Y103</f>
        <v/>
      </c>
      <c r="Z109" s="26">
        <f>Z103</f>
        <v/>
      </c>
      <c r="AA109" s="26">
        <f>AA103</f>
        <v/>
      </c>
      <c r="AB109" s="26">
        <f>AB103</f>
        <v/>
      </c>
      <c r="AC109" s="26">
        <f>AC103</f>
        <v/>
      </c>
      <c r="AD109" s="29">
        <f>AD103</f>
        <v/>
      </c>
    </row>
    <row r="110">
      <c r="C110" s="15" t="inlineStr">
        <is>
          <t>28</t>
        </is>
      </c>
      <c r="D110" s="92" t="n">
        <v>1693</v>
      </c>
      <c r="E110" s="92" t="inlineStr">
        <is>
          <t>STANELY OMONDI</t>
        </is>
      </c>
      <c r="F110" s="39" t="n"/>
      <c r="G110" s="96" t="n">
        <v>2200</v>
      </c>
      <c r="H110" s="99" t="n"/>
      <c r="I110" s="99" t="n"/>
      <c r="J110" s="99" t="n"/>
      <c r="K110" s="99" t="n"/>
      <c r="L110" s="97" t="n"/>
      <c r="M110" s="110" t="n"/>
      <c r="N110" s="110" t="n"/>
      <c r="O110" s="110" t="n"/>
      <c r="P110" s="110" t="n"/>
      <c r="Q110" s="110" t="n"/>
      <c r="R110" s="42" t="n"/>
      <c r="S110" s="42" t="n">
        <v>500</v>
      </c>
      <c r="T110" s="42" t="n"/>
      <c r="U110" s="26" t="n"/>
      <c r="V110" s="42" t="n"/>
      <c r="W110" s="42" t="n"/>
      <c r="X110" s="42" t="n"/>
      <c r="Y110" s="26" t="n"/>
      <c r="Z110" s="42" t="n"/>
      <c r="AA110" s="42" t="n"/>
      <c r="AB110" s="42" t="n"/>
      <c r="AC110" s="42" t="n"/>
      <c r="AD110" s="43">
        <f>F110+SUM(G110:Q110)-SUM(R110:AC110)</f>
        <v/>
      </c>
    </row>
    <row r="111">
      <c r="C111" s="15" t="inlineStr">
        <is>
          <t>29</t>
        </is>
      </c>
      <c r="D111" s="92" t="n">
        <v>1695</v>
      </c>
      <c r="E111" s="54" t="inlineStr">
        <is>
          <t>DANIEL OTIENDE</t>
        </is>
      </c>
      <c r="F111" s="39" t="n"/>
      <c r="G111" s="96" t="n">
        <v>2200</v>
      </c>
      <c r="H111" s="99" t="n"/>
      <c r="I111" s="99" t="n"/>
      <c r="J111" s="99" t="n"/>
      <c r="K111" s="99" t="n"/>
      <c r="L111" s="97" t="n"/>
      <c r="M111" s="110" t="n"/>
      <c r="N111" s="110" t="n"/>
      <c r="O111" s="110" t="n"/>
      <c r="P111" s="110" t="n"/>
      <c r="Q111" s="110" t="n"/>
      <c r="R111" s="42" t="n"/>
      <c r="S111" s="42" t="n">
        <v>800</v>
      </c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3">
        <f>F111+SUM(G111:Q111)-SUM(R111:AC111)</f>
        <v/>
      </c>
    </row>
    <row r="112">
      <c r="C112" s="15" t="inlineStr">
        <is>
          <t>30</t>
        </is>
      </c>
      <c r="D112" s="92" t="inlineStr">
        <is>
          <t>1699</t>
        </is>
      </c>
      <c r="E112" s="92" t="inlineStr">
        <is>
          <t>BRIAN OTIENO AUMA</t>
        </is>
      </c>
      <c r="F112" s="39" t="n"/>
      <c r="G112" s="98" t="n">
        <v>2200</v>
      </c>
      <c r="H112" s="99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7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3">
        <f>F112+SUM(G112:Q112)-SUM(R112:AC112)</f>
        <v/>
      </c>
    </row>
    <row r="113" hidden="1" s="101">
      <c r="C113" s="15" t="inlineStr">
        <is>
          <t>31</t>
        </is>
      </c>
      <c r="D113" s="92" t="inlineStr">
        <is>
          <t>1702</t>
        </is>
      </c>
      <c r="E113" s="92" t="inlineStr">
        <is>
          <t>MORGAN ADINO</t>
        </is>
      </c>
      <c r="F113" s="39" t="n"/>
      <c r="G113" s="96" t="n">
        <v>11000</v>
      </c>
      <c r="H113" s="99" t="n"/>
      <c r="I113" s="99" t="n"/>
      <c r="J113" s="99" t="n"/>
      <c r="K113" s="99" t="n"/>
      <c r="L113" s="97" t="n"/>
      <c r="M113" s="110" t="n"/>
      <c r="N113" s="110" t="n"/>
      <c r="O113" s="110" t="n"/>
      <c r="P113" s="110" t="n"/>
      <c r="Q113" s="110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3" t="n"/>
    </row>
    <row r="114">
      <c r="C114" s="15" t="inlineStr">
        <is>
          <t>31</t>
        </is>
      </c>
      <c r="D114" s="92" t="n">
        <v>1702</v>
      </c>
      <c r="E114" s="92" t="inlineStr">
        <is>
          <t>MORGAN ADINO</t>
        </is>
      </c>
      <c r="F114" s="39" t="n"/>
      <c r="G114" s="96" t="n">
        <v>2200</v>
      </c>
      <c r="H114" s="99" t="n"/>
      <c r="I114" s="99" t="n"/>
      <c r="J114" s="99" t="n"/>
      <c r="K114" s="99" t="n"/>
      <c r="L114" s="97" t="n"/>
      <c r="M114" s="110" t="n"/>
      <c r="N114" s="110" t="n"/>
      <c r="O114" s="110" t="n"/>
      <c r="P114" s="110" t="n"/>
      <c r="Q114" s="110" t="n"/>
      <c r="R114" s="42" t="n"/>
      <c r="S114" s="42" t="n"/>
      <c r="T114" s="42" t="n"/>
      <c r="U114" s="42" t="n"/>
      <c r="V114" s="17" t="n"/>
      <c r="W114" s="42" t="n"/>
      <c r="X114" s="42" t="n"/>
      <c r="Y114" s="42" t="n"/>
      <c r="Z114" s="42" t="n"/>
      <c r="AA114" s="42" t="n"/>
      <c r="AB114" s="42" t="n"/>
      <c r="AC114" s="42" t="n"/>
      <c r="AD114" s="43">
        <f>F114+SUM(G114:Q114)-SUM(R114:AC114)</f>
        <v/>
      </c>
    </row>
    <row r="115">
      <c r="C115" s="15" t="inlineStr">
        <is>
          <t>32</t>
        </is>
      </c>
      <c r="D115" s="92" t="n">
        <v>1704</v>
      </c>
      <c r="E115" s="92" t="inlineStr">
        <is>
          <t>SUFIAN OCHIENG</t>
        </is>
      </c>
      <c r="F115" s="39" t="n"/>
      <c r="G115" s="96" t="n">
        <v>2200</v>
      </c>
      <c r="H115" s="99" t="n"/>
      <c r="I115" s="99" t="n"/>
      <c r="J115" s="99" t="n"/>
      <c r="K115" s="99" t="n"/>
      <c r="L115" s="97" t="n"/>
      <c r="M115" s="110" t="n"/>
      <c r="N115" s="110" t="n"/>
      <c r="O115" s="110" t="n"/>
      <c r="P115" s="110" t="n"/>
      <c r="Q115" s="110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3">
        <f>F115+SUM(G115:Q115)-SUM(R115:AC115)</f>
        <v/>
      </c>
    </row>
    <row r="116">
      <c r="C116" s="15" t="inlineStr">
        <is>
          <t>33</t>
        </is>
      </c>
      <c r="D116" s="38" t="n">
        <v>1750</v>
      </c>
      <c r="E116" s="38" t="inlineStr">
        <is>
          <t>KHALID OKECH</t>
        </is>
      </c>
      <c r="F116" s="39" t="n"/>
      <c r="G116" s="96" t="n">
        <v>2200</v>
      </c>
      <c r="H116" s="99" t="n"/>
      <c r="I116" s="99" t="n"/>
      <c r="J116" s="99" t="n"/>
      <c r="K116" s="99" t="n"/>
      <c r="L116" s="97" t="n"/>
      <c r="M116" s="110" t="n"/>
      <c r="N116" s="110" t="n"/>
      <c r="O116" s="110" t="n"/>
      <c r="P116" s="110" t="n"/>
      <c r="Q116" s="110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3">
        <f>F116+SUM(G116:Q116)-SUM(R116:AC116)</f>
        <v/>
      </c>
    </row>
    <row r="117">
      <c r="C117" s="15" t="inlineStr">
        <is>
          <t>34</t>
        </is>
      </c>
      <c r="D117" s="38" t="n">
        <v>1759</v>
      </c>
      <c r="E117" s="38" t="inlineStr">
        <is>
          <t>EMMANUEL ODUOR</t>
        </is>
      </c>
      <c r="F117" s="39" t="n"/>
      <c r="G117" s="96" t="n">
        <v>2200</v>
      </c>
      <c r="H117" s="99" t="n"/>
      <c r="I117" s="99" t="n"/>
      <c r="J117" s="99" t="n"/>
      <c r="K117" s="99" t="n"/>
      <c r="L117" s="97" t="n"/>
      <c r="M117" s="110" t="n"/>
      <c r="N117" s="110" t="n"/>
      <c r="O117" s="110" t="n"/>
      <c r="P117" s="110" t="n"/>
      <c r="Q117" s="110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3">
        <f>F117+SUM(G117:N117)-SUM(R117:AC117)</f>
        <v/>
      </c>
    </row>
    <row r="118">
      <c r="C118" s="15" t="inlineStr">
        <is>
          <t>35</t>
        </is>
      </c>
      <c r="D118" s="92" t="inlineStr">
        <is>
          <t>1779</t>
        </is>
      </c>
      <c r="E118" s="92" t="inlineStr">
        <is>
          <t>SAMUEL MORGAN</t>
        </is>
      </c>
      <c r="F118" s="39" t="n"/>
      <c r="G118" s="98" t="n">
        <v>2200</v>
      </c>
      <c r="H118" s="99" t="n"/>
      <c r="I118" s="99" t="n"/>
      <c r="J118" s="99" t="n"/>
      <c r="K118" s="99" t="n"/>
      <c r="L118" s="99" t="n"/>
      <c r="M118" s="99" t="n"/>
      <c r="N118" s="99" t="n"/>
      <c r="O118" s="99" t="n"/>
      <c r="P118" s="99" t="n"/>
      <c r="Q118" s="97" t="n"/>
      <c r="R118" s="42" t="n"/>
      <c r="S118" s="42" t="n"/>
      <c r="T118" s="42" t="n"/>
      <c r="U118" s="42" t="n"/>
      <c r="V118" s="17" t="n"/>
      <c r="W118" s="17" t="n">
        <v>50</v>
      </c>
      <c r="X118" s="17" t="n"/>
      <c r="Y118" s="42" t="n"/>
      <c r="Z118" s="17" t="n"/>
      <c r="AA118" s="17" t="n"/>
      <c r="AB118" s="17" t="n"/>
      <c r="AC118" s="17" t="n"/>
      <c r="AD118" s="1">
        <f>F118+SUM(G118:Q118)-SUM(R118:AC118)</f>
        <v/>
      </c>
    </row>
    <row r="119">
      <c r="C119" s="15" t="inlineStr">
        <is>
          <t>36</t>
        </is>
      </c>
      <c r="D119" s="92" t="n">
        <v>1822</v>
      </c>
      <c r="E119" s="92" t="inlineStr">
        <is>
          <t>CLINTON ODONGO</t>
        </is>
      </c>
      <c r="F119" s="39" t="n"/>
      <c r="G119" s="96" t="n">
        <v>2200</v>
      </c>
      <c r="H119" s="99" t="n"/>
      <c r="I119" s="99" t="n"/>
      <c r="J119" s="99" t="n"/>
      <c r="K119" s="99" t="n"/>
      <c r="L119" s="97" t="n"/>
      <c r="M119" s="110" t="n"/>
      <c r="N119" s="110" t="n"/>
      <c r="O119" s="110" t="n"/>
      <c r="P119" s="110" t="n"/>
      <c r="Q119" s="110" t="n"/>
      <c r="R119" s="42" t="n"/>
      <c r="S119" s="42" t="n"/>
      <c r="T119" s="42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35">
        <f>F119+SUM(G119:Q119)-SUM(R119:AC119)</f>
        <v/>
      </c>
    </row>
    <row r="120">
      <c r="C120" s="15" t="inlineStr">
        <is>
          <t>37</t>
        </is>
      </c>
      <c r="D120" s="92" t="n">
        <v>1827</v>
      </c>
      <c r="E120" s="92" t="inlineStr">
        <is>
          <t>JEFF FRED OTIENO</t>
        </is>
      </c>
      <c r="F120" s="39" t="n"/>
      <c r="G120" s="96" t="n">
        <v>2200</v>
      </c>
      <c r="H120" s="99" t="n"/>
      <c r="I120" s="99" t="n"/>
      <c r="J120" s="99" t="n"/>
      <c r="K120" s="99" t="n"/>
      <c r="L120" s="97" t="n"/>
      <c r="M120" s="110" t="n"/>
      <c r="N120" s="110" t="n"/>
      <c r="O120" s="110" t="n"/>
      <c r="P120" s="110" t="n"/>
      <c r="Q120" s="110" t="n"/>
      <c r="R120" s="42" t="n"/>
      <c r="S120" s="42" t="n"/>
      <c r="T120" s="42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">
        <f>F120+SUM(G120:Q120)-SUM(R120:AC120)</f>
        <v/>
      </c>
    </row>
    <row r="121">
      <c r="C121" s="15" t="inlineStr">
        <is>
          <t>38</t>
        </is>
      </c>
      <c r="D121" s="92" t="n">
        <v>1830</v>
      </c>
      <c r="E121" s="92" t="inlineStr">
        <is>
          <t>SAMUEL ORUKO</t>
        </is>
      </c>
      <c r="F121" s="39" t="n"/>
      <c r="G121" s="96" t="n">
        <v>2200</v>
      </c>
      <c r="H121" s="99" t="n"/>
      <c r="I121" s="99" t="n"/>
      <c r="J121" s="99" t="n"/>
      <c r="K121" s="99" t="n"/>
      <c r="L121" s="97" t="n"/>
      <c r="M121" s="110" t="n"/>
      <c r="N121" s="110" t="n"/>
      <c r="O121" s="110" t="n"/>
      <c r="P121" s="110" t="n"/>
      <c r="Q121" s="110" t="n"/>
      <c r="R121" s="42" t="n"/>
      <c r="S121" s="42" t="n"/>
      <c r="T121" s="42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">
        <f>F121+SUM(G121:Q121)-SUM(R121:AC121)</f>
        <v/>
      </c>
    </row>
    <row r="122">
      <c r="C122" s="15" t="inlineStr">
        <is>
          <t>39</t>
        </is>
      </c>
      <c r="D122" s="92" t="n">
        <v>1843</v>
      </c>
      <c r="E122" s="92" t="inlineStr">
        <is>
          <t>MOSES ONYANGO</t>
        </is>
      </c>
      <c r="F122" s="39" t="n"/>
      <c r="G122" s="96" t="n">
        <v>2200</v>
      </c>
      <c r="H122" s="99" t="n"/>
      <c r="I122" s="99" t="n"/>
      <c r="J122" s="99" t="n"/>
      <c r="K122" s="99" t="n"/>
      <c r="L122" s="97" t="n"/>
      <c r="M122" s="110" t="n"/>
      <c r="N122" s="110" t="n"/>
      <c r="O122" s="110" t="n"/>
      <c r="P122" s="110" t="n"/>
      <c r="Q122" s="110" t="n"/>
      <c r="R122" s="42" t="n"/>
      <c r="S122" s="42" t="n"/>
      <c r="T122" s="42" t="n"/>
      <c r="U122" s="17" t="n"/>
      <c r="V122" s="20" t="n"/>
      <c r="W122" s="20" t="n"/>
      <c r="X122" s="20" t="n"/>
      <c r="Y122" s="17" t="n"/>
      <c r="Z122" s="20" t="n"/>
      <c r="AA122" s="20" t="n"/>
      <c r="AB122" s="20" t="n"/>
      <c r="AC122" s="20" t="n"/>
      <c r="AD122" s="1">
        <f>F122+SUM(G122:Q122)-SUM(R122:AC122)</f>
        <v/>
      </c>
    </row>
    <row r="123">
      <c r="C123" s="15" t="inlineStr">
        <is>
          <t>40</t>
        </is>
      </c>
      <c r="D123" s="92" t="n">
        <v>1845</v>
      </c>
      <c r="E123" s="92" t="inlineStr">
        <is>
          <t>CHARLSE OTIENO</t>
        </is>
      </c>
      <c r="F123" s="39" t="n"/>
      <c r="G123" s="96" t="n">
        <v>2200</v>
      </c>
      <c r="H123" s="99" t="n"/>
      <c r="I123" s="99" t="n"/>
      <c r="J123" s="99" t="n"/>
      <c r="K123" s="99" t="n"/>
      <c r="L123" s="97" t="n"/>
      <c r="M123" s="110" t="n"/>
      <c r="N123" s="110" t="n"/>
      <c r="O123" s="110" t="n"/>
      <c r="P123" s="110" t="n"/>
      <c r="Q123" s="110" t="n"/>
      <c r="R123" s="42" t="n"/>
      <c r="S123" s="42" t="n"/>
      <c r="T123" s="42" t="n"/>
      <c r="U123" s="20" t="n"/>
      <c r="V123" s="17" t="n"/>
      <c r="W123" s="17" t="n"/>
      <c r="X123" s="17" t="n"/>
      <c r="Y123" s="20" t="n"/>
      <c r="Z123" s="37" t="n"/>
      <c r="AA123" s="17" t="n"/>
      <c r="AB123" s="17" t="n"/>
      <c r="AC123" s="17" t="n"/>
      <c r="AD123" s="1">
        <f>F123+SUM(G123:Q123)-SUM(R123:AC123)</f>
        <v/>
      </c>
    </row>
    <row r="124">
      <c r="C124" s="15" t="inlineStr">
        <is>
          <t>50</t>
        </is>
      </c>
      <c r="D124" s="92" t="n">
        <v>1848</v>
      </c>
      <c r="E124" s="92" t="inlineStr">
        <is>
          <t>PETER AIMA</t>
        </is>
      </c>
      <c r="F124" s="39" t="n"/>
      <c r="G124" s="98" t="n">
        <v>2200</v>
      </c>
      <c r="H124" s="99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7" t="n"/>
      <c r="R124" s="42" t="n"/>
      <c r="S124" s="42" t="n"/>
      <c r="T124" s="42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">
        <f>F124+SUM(G124:Q124)-SUM(R124:AC124)</f>
        <v/>
      </c>
    </row>
    <row r="125">
      <c r="C125" s="15" t="inlineStr">
        <is>
          <t>51</t>
        </is>
      </c>
      <c r="D125" s="92" t="n">
        <v>1890</v>
      </c>
      <c r="E125" s="92" t="inlineStr">
        <is>
          <t>COLLINS MANYASI</t>
        </is>
      </c>
      <c r="F125" s="16" t="n"/>
      <c r="G125" s="98" t="n">
        <v>2200</v>
      </c>
      <c r="H125" s="99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7" t="n"/>
      <c r="R125" s="42" t="n"/>
      <c r="S125" s="42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">
        <f>F125+SUM(G125:Q125)-SUM(R125:AC125)</f>
        <v/>
      </c>
    </row>
    <row r="126" ht="15.75" customHeight="1" s="101" thickBot="1">
      <c r="C126" s="5" t="n"/>
      <c r="D126" s="5" t="n"/>
      <c r="E126" s="6" t="inlineStr">
        <is>
          <t>TOTAL</t>
        </is>
      </c>
      <c r="F126" s="7">
        <f>SUM(F109:F125)</f>
        <v/>
      </c>
      <c r="G126" s="8">
        <f>SUM(G109:G125)</f>
        <v/>
      </c>
      <c r="H126" s="8">
        <f>SUM(H109:H122)</f>
        <v/>
      </c>
      <c r="I126" s="8">
        <f>SUM(I109:I122)</f>
        <v/>
      </c>
      <c r="J126" s="8">
        <f>SUM(J109:J122)</f>
        <v/>
      </c>
      <c r="K126" s="8">
        <f>SUM(K109:K122)</f>
        <v/>
      </c>
      <c r="L126" s="8">
        <f>SUM(L109:L122)</f>
        <v/>
      </c>
      <c r="M126" s="8">
        <f>SUM(M109:M122)</f>
        <v/>
      </c>
      <c r="N126" s="8">
        <f>SUM(N109:N122)</f>
        <v/>
      </c>
      <c r="O126" s="8">
        <f>SUM(O109:O122)</f>
        <v/>
      </c>
      <c r="P126" s="8">
        <f>SUM(P109:P122)</f>
        <v/>
      </c>
      <c r="Q126" s="8">
        <f>SUM(Q109:Q122)</f>
        <v/>
      </c>
      <c r="R126" s="8">
        <f>SUM(R109:R125)</f>
        <v/>
      </c>
      <c r="S126" s="8">
        <f>SUM(S109:S125)</f>
        <v/>
      </c>
      <c r="T126" s="8">
        <f>SUM(T109:T125)</f>
        <v/>
      </c>
      <c r="U126" s="4">
        <f>SUM(U109:U125)</f>
        <v/>
      </c>
      <c r="V126" s="8">
        <f>SUM(V109:V125)</f>
        <v/>
      </c>
      <c r="W126" s="8">
        <f>SUM(W109:W125)</f>
        <v/>
      </c>
      <c r="X126" s="8">
        <f>SUM(X109:X125)</f>
        <v/>
      </c>
      <c r="Y126" s="4">
        <f>SUM(Y109:Y125)</f>
        <v/>
      </c>
      <c r="Z126" s="8">
        <f>SUM(Z109:Z125)</f>
        <v/>
      </c>
      <c r="AA126" s="8">
        <f>SUM(AA109:AA125)</f>
        <v/>
      </c>
      <c r="AB126" s="8">
        <f>SUM(AB109:AB125)</f>
        <v/>
      </c>
      <c r="AC126" s="8">
        <f>SUM(AC109:AC125)</f>
        <v/>
      </c>
      <c r="AD126" s="9">
        <f>SUM(AD109:AD125)</f>
        <v/>
      </c>
    </row>
    <row r="128">
      <c r="E128" s="74" t="inlineStr">
        <is>
          <t>TOTAL COLLECTION 2026 (4C)</t>
        </is>
      </c>
      <c r="F128" s="75">
        <f>SUM(R126,S126,T126,U126,V126,W126,X126,Y126,Z126,AA126,AB126,AC126)</f>
        <v/>
      </c>
    </row>
  </sheetData>
  <mergeCells count="120">
    <mergeCell ref="G101:L101"/>
    <mergeCell ref="G19:L19"/>
    <mergeCell ref="G81:Q81"/>
    <mergeCell ref="G93:L93"/>
    <mergeCell ref="G6:L6"/>
    <mergeCell ref="C72:F72"/>
    <mergeCell ref="G83:L83"/>
    <mergeCell ref="G92:L92"/>
    <mergeCell ref="G98:Q98"/>
    <mergeCell ref="G30:L30"/>
    <mergeCell ref="G14:L14"/>
    <mergeCell ref="G82:Q82"/>
    <mergeCell ref="G55:L55"/>
    <mergeCell ref="G119:L119"/>
    <mergeCell ref="G74:Q74"/>
    <mergeCell ref="G108:Q108"/>
    <mergeCell ref="G96:L96"/>
    <mergeCell ref="G45:Q45"/>
    <mergeCell ref="G94:Q94"/>
    <mergeCell ref="G109:Q109"/>
    <mergeCell ref="G8:L8"/>
    <mergeCell ref="C2:F2"/>
    <mergeCell ref="G75:Q75"/>
    <mergeCell ref="G22:Q22"/>
    <mergeCell ref="C1:Q1"/>
    <mergeCell ref="G57:L57"/>
    <mergeCell ref="G10:L10"/>
    <mergeCell ref="G66:L66"/>
    <mergeCell ref="G18:L18"/>
    <mergeCell ref="G53:L53"/>
    <mergeCell ref="G121:L121"/>
    <mergeCell ref="R35:AC35"/>
    <mergeCell ref="G23:Q23"/>
    <mergeCell ref="G58:L58"/>
    <mergeCell ref="G125:Q125"/>
    <mergeCell ref="G123:L123"/>
    <mergeCell ref="R3:AC3"/>
    <mergeCell ref="G112:Q112"/>
    <mergeCell ref="G110:L110"/>
    <mergeCell ref="G113:L113"/>
    <mergeCell ref="G20:L20"/>
    <mergeCell ref="G91:L91"/>
    <mergeCell ref="G29:L29"/>
    <mergeCell ref="G100:L100"/>
    <mergeCell ref="G47:L47"/>
    <mergeCell ref="G44:L44"/>
    <mergeCell ref="G84:L84"/>
    <mergeCell ref="G102:L102"/>
    <mergeCell ref="G111:L111"/>
    <mergeCell ref="G12:L12"/>
    <mergeCell ref="G21:L21"/>
    <mergeCell ref="G88:Q88"/>
    <mergeCell ref="G86:L86"/>
    <mergeCell ref="G35:Q35"/>
    <mergeCell ref="G76:Q76"/>
    <mergeCell ref="G48:L48"/>
    <mergeCell ref="G99:Q99"/>
    <mergeCell ref="G97:L97"/>
    <mergeCell ref="G38:L38"/>
    <mergeCell ref="G7:L7"/>
    <mergeCell ref="G62:L62"/>
    <mergeCell ref="G11:Q11"/>
    <mergeCell ref="G49:L49"/>
    <mergeCell ref="C105:Q105"/>
    <mergeCell ref="G65:L65"/>
    <mergeCell ref="C34:F34"/>
    <mergeCell ref="G114:L114"/>
    <mergeCell ref="G37:Q37"/>
    <mergeCell ref="G118:Q118"/>
    <mergeCell ref="G25:L25"/>
    <mergeCell ref="G85:L85"/>
    <mergeCell ref="G87:Q87"/>
    <mergeCell ref="G60:L60"/>
    <mergeCell ref="G9:L9"/>
    <mergeCell ref="G95:Q95"/>
    <mergeCell ref="G59:L59"/>
    <mergeCell ref="G115:L115"/>
    <mergeCell ref="G77:L77"/>
    <mergeCell ref="G73:Q73"/>
    <mergeCell ref="G117:L117"/>
    <mergeCell ref="G61:L61"/>
    <mergeCell ref="G39:L39"/>
    <mergeCell ref="G122:L122"/>
    <mergeCell ref="G116:L116"/>
    <mergeCell ref="C106:F106"/>
    <mergeCell ref="G52:Q52"/>
    <mergeCell ref="G13:L13"/>
    <mergeCell ref="G78:L78"/>
    <mergeCell ref="G27:Q27"/>
    <mergeCell ref="G36:Q36"/>
    <mergeCell ref="G107:Q107"/>
    <mergeCell ref="G15:L15"/>
    <mergeCell ref="G17:Q17"/>
    <mergeCell ref="G24:L24"/>
    <mergeCell ref="G80:L80"/>
    <mergeCell ref="G89:L89"/>
    <mergeCell ref="C71:Q71"/>
    <mergeCell ref="G64:L64"/>
    <mergeCell ref="G79:L79"/>
    <mergeCell ref="G51:L51"/>
    <mergeCell ref="G26:L26"/>
    <mergeCell ref="G28:Q28"/>
    <mergeCell ref="G54:L54"/>
    <mergeCell ref="G3:Q3"/>
    <mergeCell ref="G63:L63"/>
    <mergeCell ref="G41:L41"/>
    <mergeCell ref="G16:L16"/>
    <mergeCell ref="G50:L50"/>
    <mergeCell ref="G90:L90"/>
    <mergeCell ref="G124:Q124"/>
    <mergeCell ref="G56:L56"/>
    <mergeCell ref="G5:Q5"/>
    <mergeCell ref="G43:L43"/>
    <mergeCell ref="R73:AC73"/>
    <mergeCell ref="G120:L120"/>
    <mergeCell ref="G4:Q4"/>
    <mergeCell ref="C33:Q33"/>
    <mergeCell ref="G42:L42"/>
    <mergeCell ref="G46:Q46"/>
    <mergeCell ref="G40:Q40"/>
  </mergeCells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Accountant</dc:creator>
  <dcterms:created xsi:type="dcterms:W3CDTF">2018-02-26T12:33:16Z</dcterms:created>
  <dcterms:modified xsi:type="dcterms:W3CDTF">2026-09-30T12:58:42Z</dcterms:modified>
  <cp:lastModifiedBy>USER</cp:lastModifiedBy>
  <cp:lastPrinted>2026-09-23T06:22:14Z</cp:lastPrinted>
</cp:coreProperties>
</file>